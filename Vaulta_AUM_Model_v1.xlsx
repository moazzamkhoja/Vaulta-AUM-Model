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Vaulta-AUM-Model\"/>
    </mc:Choice>
  </mc:AlternateContent>
  <xr:revisionPtr revIDLastSave="0" documentId="13_ncr:1_{3C1D8903-C1E6-468F-B5D7-D5981D5502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1" r:id="rId1"/>
    <sheet name="Research &amp; Sources" sheetId="2" r:id="rId2"/>
    <sheet name="Assumptions" sheetId="3" r:id="rId3"/>
    <sheet name="Consumer Model" sheetId="4" r:id="rId4"/>
    <sheet name="AUM Engine" sheetId="5" r:id="rId5"/>
    <sheet name="Revenue Comparison" sheetId="6" r:id="rId6"/>
    <sheet name="Crossover Analysis" sheetId="7" r:id="rId7"/>
    <sheet name="Segment Unit Economics" sheetId="8" r:id="rId8"/>
    <sheet name="Sensitiv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8" l="1"/>
  <c r="E17" i="8"/>
  <c r="D17" i="8"/>
  <c r="C17" i="8"/>
  <c r="F13" i="8"/>
  <c r="D13" i="8"/>
  <c r="C13" i="8"/>
  <c r="F12" i="8"/>
  <c r="E12" i="8"/>
  <c r="D12" i="8"/>
  <c r="F8" i="8"/>
  <c r="E8" i="8"/>
  <c r="D8" i="8"/>
  <c r="C8" i="8"/>
  <c r="H8" i="8" s="1"/>
  <c r="F7" i="8"/>
  <c r="E7" i="8"/>
  <c r="D7" i="8"/>
  <c r="C7" i="8"/>
  <c r="F6" i="8"/>
  <c r="E6" i="8"/>
  <c r="E13" i="8" s="1"/>
  <c r="D6" i="8"/>
  <c r="C6" i="8"/>
  <c r="C12" i="8" s="1"/>
  <c r="F5" i="8"/>
  <c r="E5" i="8"/>
  <c r="D5" i="8"/>
  <c r="C5" i="8"/>
  <c r="G30" i="7"/>
  <c r="F30" i="7"/>
  <c r="E30" i="7"/>
  <c r="D30" i="7"/>
  <c r="C30" i="7"/>
  <c r="G29" i="7"/>
  <c r="F29" i="7"/>
  <c r="E29" i="7"/>
  <c r="D29" i="7"/>
  <c r="C29" i="7"/>
  <c r="G28" i="7"/>
  <c r="F28" i="7"/>
  <c r="E28" i="7"/>
  <c r="D28" i="7"/>
  <c r="C28" i="7"/>
  <c r="G27" i="7"/>
  <c r="F27" i="7"/>
  <c r="E27" i="7"/>
  <c r="D27" i="7"/>
  <c r="C27" i="7"/>
  <c r="C6" i="7"/>
  <c r="C5" i="7"/>
  <c r="C7" i="7" s="1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C51" i="5"/>
  <c r="C38" i="5"/>
  <c r="C25" i="5"/>
  <c r="C12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V18" i="4"/>
  <c r="T18" i="4"/>
  <c r="V17" i="4"/>
  <c r="S17" i="4"/>
  <c r="S15" i="4"/>
  <c r="S16" i="4" s="1"/>
  <c r="R15" i="4"/>
  <c r="R16" i="4" s="1"/>
  <c r="Q15" i="4"/>
  <c r="Q16" i="4" s="1"/>
  <c r="P15" i="4"/>
  <c r="P16" i="4" s="1"/>
  <c r="L15" i="4"/>
  <c r="L16" i="4" s="1"/>
  <c r="D15" i="4"/>
  <c r="D16" i="4" s="1"/>
  <c r="C13" i="4"/>
  <c r="S11" i="4"/>
  <c r="S12" i="4" s="1"/>
  <c r="S10" i="4"/>
  <c r="R10" i="4"/>
  <c r="Q10" i="4"/>
  <c r="P10" i="4"/>
  <c r="K10" i="4"/>
  <c r="J10" i="4"/>
  <c r="V6" i="4"/>
  <c r="U6" i="4"/>
  <c r="T6" i="4"/>
  <c r="T17" i="4" s="1"/>
  <c r="S6" i="4"/>
  <c r="S18" i="4" s="1"/>
  <c r="R6" i="4"/>
  <c r="R18" i="4" s="1"/>
  <c r="Q6" i="4"/>
  <c r="Q11" i="4" s="1"/>
  <c r="Q12" i="4" s="1"/>
  <c r="P6" i="4"/>
  <c r="P18" i="4" s="1"/>
  <c r="O6" i="4"/>
  <c r="O18" i="4" s="1"/>
  <c r="N6" i="4"/>
  <c r="N18" i="4" s="1"/>
  <c r="M6" i="4"/>
  <c r="M18" i="4" s="1"/>
  <c r="L6" i="4"/>
  <c r="L17" i="4" s="1"/>
  <c r="K6" i="4"/>
  <c r="K18" i="4" s="1"/>
  <c r="J6" i="4"/>
  <c r="J18" i="4" s="1"/>
  <c r="I6" i="4"/>
  <c r="I18" i="4" s="1"/>
  <c r="H6" i="4"/>
  <c r="H18" i="4" s="1"/>
  <c r="G6" i="4"/>
  <c r="G11" i="4" s="1"/>
  <c r="F6" i="4"/>
  <c r="F11" i="4" s="1"/>
  <c r="E6" i="4"/>
  <c r="D6" i="4"/>
  <c r="C6" i="4"/>
  <c r="C15" i="4" s="1"/>
  <c r="C16" i="4" s="1"/>
  <c r="C58" i="3"/>
  <c r="C49" i="3"/>
  <c r="G39" i="3"/>
  <c r="F39" i="3"/>
  <c r="E39" i="3"/>
  <c r="D39" i="3"/>
  <c r="C39" i="3"/>
  <c r="C30" i="3"/>
  <c r="C29" i="3"/>
  <c r="C28" i="3"/>
  <c r="C27" i="3"/>
  <c r="C9" i="3"/>
  <c r="C7" i="3"/>
  <c r="C8" i="3" s="1"/>
  <c r="S20" i="4" l="1"/>
  <c r="S27" i="4"/>
  <c r="S49" i="5" s="1"/>
  <c r="S62" i="5" s="1"/>
  <c r="S26" i="4"/>
  <c r="S36" i="5" s="1"/>
  <c r="S25" i="4"/>
  <c r="S23" i="5" s="1"/>
  <c r="S24" i="4"/>
  <c r="S10" i="5" s="1"/>
  <c r="L11" i="4"/>
  <c r="P11" i="4"/>
  <c r="P12" i="4" s="1"/>
  <c r="P25" i="4" s="1"/>
  <c r="P23" i="5" s="1"/>
  <c r="M17" i="4"/>
  <c r="P17" i="4"/>
  <c r="Q17" i="4"/>
  <c r="J11" i="4"/>
  <c r="J12" i="4" s="1"/>
  <c r="J25" i="4" s="1"/>
  <c r="J23" i="5" s="1"/>
  <c r="K17" i="4"/>
  <c r="Q18" i="4"/>
  <c r="Q20" i="4" s="1"/>
  <c r="I11" i="4"/>
  <c r="I17" i="4"/>
  <c r="J17" i="4"/>
  <c r="K11" i="4"/>
  <c r="K12" i="4" s="1"/>
  <c r="K27" i="4" s="1"/>
  <c r="K49" i="5" s="1"/>
  <c r="D21" i="8"/>
  <c r="I10" i="4"/>
  <c r="I6" i="8"/>
  <c r="L12" i="4"/>
  <c r="Q25" i="4"/>
  <c r="Q23" i="5" s="1"/>
  <c r="Q27" i="4"/>
  <c r="Q49" i="5" s="1"/>
  <c r="R13" i="4"/>
  <c r="Q26" i="4"/>
  <c r="Q36" i="5" s="1"/>
  <c r="Q24" i="4"/>
  <c r="Q10" i="5" s="1"/>
  <c r="S53" i="5"/>
  <c r="D17" i="4"/>
  <c r="D18" i="4"/>
  <c r="D10" i="4"/>
  <c r="J24" i="4"/>
  <c r="J10" i="5" s="1"/>
  <c r="J26" i="4"/>
  <c r="J36" i="5" s="1"/>
  <c r="K13" i="4"/>
  <c r="K14" i="4" s="1"/>
  <c r="S14" i="5"/>
  <c r="E17" i="4"/>
  <c r="E18" i="4"/>
  <c r="E15" i="4"/>
  <c r="E16" i="4" s="1"/>
  <c r="E10" i="4"/>
  <c r="S27" i="5"/>
  <c r="C11" i="4"/>
  <c r="C17" i="4"/>
  <c r="C10" i="4"/>
  <c r="C18" i="4"/>
  <c r="L10" i="4"/>
  <c r="L18" i="4"/>
  <c r="D11" i="4"/>
  <c r="I7" i="8"/>
  <c r="H7" i="8"/>
  <c r="C21" i="8"/>
  <c r="E11" i="4"/>
  <c r="E12" i="4" s="1"/>
  <c r="J27" i="4"/>
  <c r="J49" i="5" s="1"/>
  <c r="U18" i="4"/>
  <c r="U15" i="4"/>
  <c r="U16" i="4" s="1"/>
  <c r="U10" i="4"/>
  <c r="R17" i="4"/>
  <c r="T15" i="4"/>
  <c r="T16" i="4" s="1"/>
  <c r="T10" i="4"/>
  <c r="F21" i="8"/>
  <c r="E21" i="8"/>
  <c r="V15" i="4"/>
  <c r="V16" i="4" s="1"/>
  <c r="V10" i="4"/>
  <c r="U17" i="4"/>
  <c r="S40" i="5"/>
  <c r="I12" i="8"/>
  <c r="R11" i="4"/>
  <c r="R12" i="4" s="1"/>
  <c r="U11" i="4"/>
  <c r="V11" i="4"/>
  <c r="V12" i="4" s="1"/>
  <c r="T13" i="4"/>
  <c r="J15" i="4"/>
  <c r="J16" i="4" s="1"/>
  <c r="E15" i="8"/>
  <c r="E14" i="8"/>
  <c r="F17" i="4"/>
  <c r="F18" i="4"/>
  <c r="F10" i="4"/>
  <c r="F12" i="4" s="1"/>
  <c r="I5" i="8"/>
  <c r="H5" i="8"/>
  <c r="G17" i="4"/>
  <c r="G18" i="4"/>
  <c r="G10" i="4"/>
  <c r="G12" i="4" s="1"/>
  <c r="F15" i="4"/>
  <c r="F16" i="4" s="1"/>
  <c r="T11" i="4"/>
  <c r="G15" i="4"/>
  <c r="G16" i="4" s="1"/>
  <c r="I15" i="4"/>
  <c r="I16" i="4" s="1"/>
  <c r="K15" i="4"/>
  <c r="K16" i="4" s="1"/>
  <c r="F14" i="8"/>
  <c r="F15" i="8"/>
  <c r="I8" i="8"/>
  <c r="I17" i="8"/>
  <c r="H17" i="8"/>
  <c r="G14" i="7"/>
  <c r="F14" i="7"/>
  <c r="E14" i="7"/>
  <c r="D14" i="7"/>
  <c r="C14" i="7"/>
  <c r="C9" i="1"/>
  <c r="C12" i="9"/>
  <c r="H12" i="8"/>
  <c r="C15" i="8"/>
  <c r="I13" i="8"/>
  <c r="H10" i="4"/>
  <c r="H11" i="4"/>
  <c r="H12" i="4" s="1"/>
  <c r="H15" i="4"/>
  <c r="H16" i="4" s="1"/>
  <c r="H17" i="4"/>
  <c r="D15" i="8"/>
  <c r="D14" i="8"/>
  <c r="H13" i="8"/>
  <c r="C14" i="8"/>
  <c r="N10" i="4"/>
  <c r="N11" i="4"/>
  <c r="N15" i="4"/>
  <c r="N16" i="4" s="1"/>
  <c r="N17" i="4"/>
  <c r="M10" i="4"/>
  <c r="M11" i="4"/>
  <c r="M12" i="4" s="1"/>
  <c r="M15" i="4"/>
  <c r="M16" i="4" s="1"/>
  <c r="O10" i="4"/>
  <c r="O11" i="4"/>
  <c r="O12" i="4" s="1"/>
  <c r="O15" i="4"/>
  <c r="O16" i="4" s="1"/>
  <c r="O17" i="4"/>
  <c r="C15" i="5"/>
  <c r="C16" i="5"/>
  <c r="C28" i="5"/>
  <c r="C29" i="5"/>
  <c r="C41" i="5"/>
  <c r="C42" i="5"/>
  <c r="C54" i="5"/>
  <c r="C55" i="5"/>
  <c r="H6" i="8"/>
  <c r="K25" i="4" l="1"/>
  <c r="K23" i="5" s="1"/>
  <c r="I12" i="4"/>
  <c r="P24" i="4"/>
  <c r="P10" i="5" s="1"/>
  <c r="L13" i="4"/>
  <c r="L14" i="4" s="1"/>
  <c r="K26" i="4"/>
  <c r="K36" i="5" s="1"/>
  <c r="P20" i="4"/>
  <c r="P26" i="4"/>
  <c r="P36" i="5" s="1"/>
  <c r="Q37" i="5" s="1"/>
  <c r="Q39" i="5" s="1"/>
  <c r="K20" i="4"/>
  <c r="N12" i="4"/>
  <c r="U12" i="4"/>
  <c r="T12" i="4"/>
  <c r="Q13" i="4"/>
  <c r="Q14" i="4" s="1"/>
  <c r="K24" i="4"/>
  <c r="K10" i="5" s="1"/>
  <c r="C66" i="5"/>
  <c r="J20" i="4"/>
  <c r="D40" i="6" s="1"/>
  <c r="D23" i="1" s="1"/>
  <c r="P27" i="4"/>
  <c r="P49" i="5" s="1"/>
  <c r="P62" i="5" s="1"/>
  <c r="C65" i="5"/>
  <c r="C12" i="4"/>
  <c r="C26" i="4" s="1"/>
  <c r="C36" i="5" s="1"/>
  <c r="F25" i="4"/>
  <c r="F23" i="5" s="1"/>
  <c r="G13" i="4"/>
  <c r="G14" i="4" s="1"/>
  <c r="F26" i="4"/>
  <c r="F36" i="5" s="1"/>
  <c r="F20" i="4"/>
  <c r="C40" i="6" s="1"/>
  <c r="F27" i="4"/>
  <c r="F49" i="5" s="1"/>
  <c r="F24" i="4"/>
  <c r="F10" i="5" s="1"/>
  <c r="H13" i="4"/>
  <c r="H14" i="4" s="1"/>
  <c r="G26" i="4"/>
  <c r="G36" i="5" s="1"/>
  <c r="G27" i="4"/>
  <c r="G49" i="5" s="1"/>
  <c r="G25" i="4"/>
  <c r="G23" i="5" s="1"/>
  <c r="G20" i="4"/>
  <c r="G24" i="4"/>
  <c r="G10" i="5" s="1"/>
  <c r="U26" i="4"/>
  <c r="U36" i="5" s="1"/>
  <c r="U20" i="4"/>
  <c r="U24" i="4"/>
  <c r="U10" i="5" s="1"/>
  <c r="V13" i="4"/>
  <c r="V14" i="4" s="1"/>
  <c r="U25" i="4"/>
  <c r="U23" i="5" s="1"/>
  <c r="U27" i="4"/>
  <c r="U49" i="5" s="1"/>
  <c r="D12" i="4"/>
  <c r="K37" i="5"/>
  <c r="K39" i="5" s="1"/>
  <c r="K40" i="5"/>
  <c r="Q40" i="5"/>
  <c r="H27" i="4"/>
  <c r="H49" i="5" s="1"/>
  <c r="H26" i="4"/>
  <c r="H36" i="5" s="1"/>
  <c r="H25" i="4"/>
  <c r="H23" i="5" s="1"/>
  <c r="H24" i="4"/>
  <c r="H10" i="5" s="1"/>
  <c r="H20" i="4"/>
  <c r="I13" i="4"/>
  <c r="I14" i="4" s="1"/>
  <c r="J40" i="5"/>
  <c r="Q14" i="5"/>
  <c r="Q11" i="5"/>
  <c r="Q13" i="5" s="1"/>
  <c r="Q62" i="5"/>
  <c r="M27" i="4"/>
  <c r="M49" i="5" s="1"/>
  <c r="M26" i="4"/>
  <c r="M36" i="5" s="1"/>
  <c r="M25" i="4"/>
  <c r="M23" i="5" s="1"/>
  <c r="M24" i="4"/>
  <c r="M10" i="5" s="1"/>
  <c r="M20" i="4"/>
  <c r="N13" i="4"/>
  <c r="N14" i="4" s="1"/>
  <c r="R14" i="4"/>
  <c r="K24" i="5"/>
  <c r="K26" i="5" s="1"/>
  <c r="K27" i="5"/>
  <c r="R27" i="4"/>
  <c r="R49" i="5" s="1"/>
  <c r="R20" i="4"/>
  <c r="F40" i="6" s="1"/>
  <c r="S13" i="4"/>
  <c r="S14" i="4" s="1"/>
  <c r="R26" i="4"/>
  <c r="R36" i="5" s="1"/>
  <c r="R25" i="4"/>
  <c r="R23" i="5" s="1"/>
  <c r="R24" i="4"/>
  <c r="R10" i="5" s="1"/>
  <c r="T26" i="4"/>
  <c r="T36" i="5" s="1"/>
  <c r="T20" i="4"/>
  <c r="U13" i="4"/>
  <c r="U14" i="4" s="1"/>
  <c r="T24" i="4"/>
  <c r="T10" i="5" s="1"/>
  <c r="T27" i="4"/>
  <c r="T49" i="5" s="1"/>
  <c r="T25" i="4"/>
  <c r="T23" i="5" s="1"/>
  <c r="J53" i="5"/>
  <c r="J62" i="5"/>
  <c r="J14" i="5"/>
  <c r="K50" i="5"/>
  <c r="K52" i="5" s="1"/>
  <c r="K53" i="5"/>
  <c r="C27" i="1"/>
  <c r="P14" i="5"/>
  <c r="V20" i="4"/>
  <c r="G40" i="6" s="1"/>
  <c r="V24" i="4"/>
  <c r="V10" i="5" s="1"/>
  <c r="V26" i="4"/>
  <c r="V36" i="5" s="1"/>
  <c r="V27" i="4"/>
  <c r="V49" i="5" s="1"/>
  <c r="V25" i="4"/>
  <c r="V23" i="5" s="1"/>
  <c r="Q53" i="5"/>
  <c r="O13" i="4"/>
  <c r="O14" i="4" s="1"/>
  <c r="N27" i="4"/>
  <c r="N49" i="5" s="1"/>
  <c r="N26" i="4"/>
  <c r="N36" i="5" s="1"/>
  <c r="N25" i="4"/>
  <c r="N23" i="5" s="1"/>
  <c r="N24" i="4"/>
  <c r="N10" i="5" s="1"/>
  <c r="N20" i="4"/>
  <c r="E40" i="6" s="1"/>
  <c r="E20" i="4"/>
  <c r="E25" i="4"/>
  <c r="E23" i="5" s="1"/>
  <c r="E27" i="4"/>
  <c r="E49" i="5" s="1"/>
  <c r="E26" i="4"/>
  <c r="E36" i="5" s="1"/>
  <c r="F13" i="4"/>
  <c r="F14" i="4" s="1"/>
  <c r="E24" i="4"/>
  <c r="E10" i="5" s="1"/>
  <c r="I14" i="8"/>
  <c r="H14" i="8"/>
  <c r="O27" i="4"/>
  <c r="O49" i="5" s="1"/>
  <c r="P50" i="5" s="1"/>
  <c r="P52" i="5" s="1"/>
  <c r="O26" i="4"/>
  <c r="O36" i="5" s="1"/>
  <c r="O25" i="4"/>
  <c r="O23" i="5" s="1"/>
  <c r="O24" i="4"/>
  <c r="O10" i="5" s="1"/>
  <c r="P11" i="5" s="1"/>
  <c r="P13" i="5" s="1"/>
  <c r="O20" i="4"/>
  <c r="P13" i="4"/>
  <c r="P14" i="4" s="1"/>
  <c r="D27" i="1"/>
  <c r="Q27" i="5"/>
  <c r="Q24" i="5"/>
  <c r="Q26" i="5" s="1"/>
  <c r="S71" i="5"/>
  <c r="S64" i="5"/>
  <c r="J27" i="5"/>
  <c r="P53" i="5"/>
  <c r="K62" i="5"/>
  <c r="K11" i="5"/>
  <c r="K13" i="5" s="1"/>
  <c r="K14" i="5"/>
  <c r="H15" i="8"/>
  <c r="I15" i="8"/>
  <c r="L31" i="4"/>
  <c r="L19" i="4"/>
  <c r="L10" i="6" s="1"/>
  <c r="L33" i="4"/>
  <c r="L32" i="4"/>
  <c r="L30" i="4"/>
  <c r="M13" i="4"/>
  <c r="M14" i="4" s="1"/>
  <c r="L27" i="4"/>
  <c r="L49" i="5" s="1"/>
  <c r="L26" i="4"/>
  <c r="L36" i="5" s="1"/>
  <c r="L24" i="4"/>
  <c r="L10" i="5" s="1"/>
  <c r="L20" i="4"/>
  <c r="L25" i="4"/>
  <c r="L23" i="5" s="1"/>
  <c r="Q33" i="4"/>
  <c r="Q19" i="4"/>
  <c r="Q10" i="6" s="1"/>
  <c r="Q30" i="4"/>
  <c r="Q32" i="4"/>
  <c r="Q31" i="4"/>
  <c r="T14" i="4"/>
  <c r="K33" i="4"/>
  <c r="K31" i="4"/>
  <c r="K32" i="4"/>
  <c r="K19" i="4"/>
  <c r="K10" i="6" s="1"/>
  <c r="K30" i="4"/>
  <c r="P27" i="5"/>
  <c r="C14" i="4" l="1"/>
  <c r="Q50" i="5"/>
  <c r="Q52" i="5" s="1"/>
  <c r="C27" i="4"/>
  <c r="C49" i="5" s="1"/>
  <c r="Q64" i="5"/>
  <c r="C25" i="4"/>
  <c r="C23" i="5" s="1"/>
  <c r="D12" i="7"/>
  <c r="D13" i="4"/>
  <c r="D14" i="4" s="1"/>
  <c r="D32" i="4" s="1"/>
  <c r="C24" i="4"/>
  <c r="C10" i="5" s="1"/>
  <c r="C62" i="5" s="1"/>
  <c r="C20" i="4"/>
  <c r="P40" i="5"/>
  <c r="I24" i="4"/>
  <c r="I10" i="5" s="1"/>
  <c r="I26" i="4"/>
  <c r="I36" i="5" s="1"/>
  <c r="I25" i="4"/>
  <c r="I23" i="5" s="1"/>
  <c r="I24" i="5" s="1"/>
  <c r="I26" i="5" s="1"/>
  <c r="I27" i="4"/>
  <c r="I49" i="5" s="1"/>
  <c r="J13" i="4"/>
  <c r="J14" i="4" s="1"/>
  <c r="I20" i="4"/>
  <c r="P37" i="5"/>
  <c r="P39" i="5" s="1"/>
  <c r="R53" i="5"/>
  <c r="R50" i="5"/>
  <c r="R52" i="5" s="1"/>
  <c r="S50" i="5"/>
  <c r="S52" i="5" s="1"/>
  <c r="V30" i="4"/>
  <c r="V32" i="4"/>
  <c r="V31" i="4"/>
  <c r="V19" i="4"/>
  <c r="V10" i="6" s="1"/>
  <c r="V33" i="4"/>
  <c r="F12" i="7"/>
  <c r="F23" i="1"/>
  <c r="C46" i="5"/>
  <c r="C40" i="5"/>
  <c r="C37" i="5"/>
  <c r="C39" i="5" s="1"/>
  <c r="C59" i="5"/>
  <c r="C53" i="5"/>
  <c r="C50" i="5"/>
  <c r="C52" i="5" s="1"/>
  <c r="G14" i="5"/>
  <c r="G62" i="5"/>
  <c r="G11" i="5"/>
  <c r="G13" i="5" s="1"/>
  <c r="T32" i="4"/>
  <c r="T33" i="4"/>
  <c r="T30" i="4"/>
  <c r="T19" i="4"/>
  <c r="T10" i="6" s="1"/>
  <c r="T31" i="4"/>
  <c r="G27" i="5"/>
  <c r="G24" i="5"/>
  <c r="G26" i="5" s="1"/>
  <c r="K63" i="5"/>
  <c r="H62" i="5"/>
  <c r="H11" i="5"/>
  <c r="H13" i="5" s="1"/>
  <c r="H14" i="5"/>
  <c r="G50" i="5"/>
  <c r="G52" i="5" s="1"/>
  <c r="G53" i="5"/>
  <c r="R33" i="4"/>
  <c r="R19" i="4"/>
  <c r="R10" i="6" s="1"/>
  <c r="R30" i="4"/>
  <c r="R32" i="4"/>
  <c r="R31" i="4"/>
  <c r="H27" i="5"/>
  <c r="H24" i="5"/>
  <c r="H26" i="5" s="1"/>
  <c r="G37" i="5"/>
  <c r="G39" i="5" s="1"/>
  <c r="G40" i="5"/>
  <c r="U62" i="5"/>
  <c r="U14" i="5"/>
  <c r="U11" i="5"/>
  <c r="U13" i="5" s="1"/>
  <c r="U40" i="5"/>
  <c r="U37" i="5"/>
  <c r="U39" i="5" s="1"/>
  <c r="U53" i="5"/>
  <c r="U50" i="5"/>
  <c r="U52" i="5" s="1"/>
  <c r="S33" i="4"/>
  <c r="S30" i="4"/>
  <c r="S19" i="4"/>
  <c r="S10" i="6" s="1"/>
  <c r="S32" i="4"/>
  <c r="S31" i="4"/>
  <c r="O31" i="4"/>
  <c r="O30" i="4"/>
  <c r="O19" i="4"/>
  <c r="O10" i="6" s="1"/>
  <c r="O32" i="4"/>
  <c r="O33" i="4"/>
  <c r="H37" i="5"/>
  <c r="H39" i="5" s="1"/>
  <c r="H40" i="5"/>
  <c r="R40" i="5"/>
  <c r="S37" i="5"/>
  <c r="S39" i="5" s="1"/>
  <c r="R37" i="5"/>
  <c r="R39" i="5" s="1"/>
  <c r="C33" i="4"/>
  <c r="C31" i="4"/>
  <c r="C32" i="4"/>
  <c r="C30" i="4"/>
  <c r="C19" i="4"/>
  <c r="C10" i="6" s="1"/>
  <c r="L14" i="6"/>
  <c r="L11" i="6"/>
  <c r="V50" i="5"/>
  <c r="V52" i="5" s="1"/>
  <c r="V53" i="5"/>
  <c r="H50" i="5"/>
  <c r="H52" i="5" s="1"/>
  <c r="H53" i="5"/>
  <c r="E14" i="5"/>
  <c r="E62" i="5"/>
  <c r="E20" i="5"/>
  <c r="O24" i="5"/>
  <c r="O26" i="5" s="1"/>
  <c r="O27" i="5"/>
  <c r="C23" i="1"/>
  <c r="C12" i="7"/>
  <c r="U27" i="5"/>
  <c r="U24" i="5"/>
  <c r="U26" i="5" s="1"/>
  <c r="D30" i="4"/>
  <c r="D33" i="4"/>
  <c r="D31" i="4"/>
  <c r="D19" i="4"/>
  <c r="D10" i="6" s="1"/>
  <c r="N50" i="5"/>
  <c r="N52" i="5" s="1"/>
  <c r="N53" i="5"/>
  <c r="J64" i="5"/>
  <c r="Q14" i="6"/>
  <c r="Q11" i="6"/>
  <c r="V40" i="5"/>
  <c r="V37" i="5"/>
  <c r="V39" i="5" s="1"/>
  <c r="F40" i="5"/>
  <c r="F46" i="5"/>
  <c r="F37" i="5"/>
  <c r="F39" i="5" s="1"/>
  <c r="V24" i="5"/>
  <c r="V26" i="5" s="1"/>
  <c r="V27" i="5"/>
  <c r="N32" i="4"/>
  <c r="N31" i="4"/>
  <c r="N30" i="4"/>
  <c r="N19" i="4"/>
  <c r="N10" i="6" s="1"/>
  <c r="N33" i="4"/>
  <c r="H32" i="4"/>
  <c r="H31" i="4"/>
  <c r="H30" i="4"/>
  <c r="H19" i="4"/>
  <c r="H10" i="6" s="1"/>
  <c r="H33" i="4"/>
  <c r="T24" i="5"/>
  <c r="T26" i="5" s="1"/>
  <c r="T27" i="5"/>
  <c r="T53" i="5"/>
  <c r="T50" i="5"/>
  <c r="T52" i="5" s="1"/>
  <c r="V11" i="5"/>
  <c r="V13" i="5" s="1"/>
  <c r="V62" i="5"/>
  <c r="V14" i="5"/>
  <c r="E40" i="5"/>
  <c r="E46" i="5"/>
  <c r="M50" i="5"/>
  <c r="M52" i="5" s="1"/>
  <c r="M53" i="5"/>
  <c r="G33" i="4"/>
  <c r="G32" i="4"/>
  <c r="G31" i="4"/>
  <c r="G30" i="4"/>
  <c r="G19" i="4"/>
  <c r="G10" i="6" s="1"/>
  <c r="M24" i="5"/>
  <c r="M26" i="5" s="1"/>
  <c r="M27" i="5"/>
  <c r="O40" i="5"/>
  <c r="O37" i="5"/>
  <c r="O39" i="5" s="1"/>
  <c r="G12" i="7"/>
  <c r="G23" i="1"/>
  <c r="U32" i="4"/>
  <c r="U33" i="4"/>
  <c r="U30" i="4"/>
  <c r="U19" i="4"/>
  <c r="U10" i="6" s="1"/>
  <c r="U31" i="4"/>
  <c r="P24" i="5"/>
  <c r="P26" i="5" s="1"/>
  <c r="L62" i="5"/>
  <c r="L11" i="5"/>
  <c r="L13" i="5" s="1"/>
  <c r="L14" i="5"/>
  <c r="L40" i="5"/>
  <c r="L37" i="5"/>
  <c r="L39" i="5" s="1"/>
  <c r="I11" i="5"/>
  <c r="I13" i="5" s="1"/>
  <c r="E33" i="5"/>
  <c r="E27" i="5"/>
  <c r="T40" i="5"/>
  <c r="T37" i="5"/>
  <c r="T39" i="5" s="1"/>
  <c r="Q71" i="5"/>
  <c r="F24" i="5"/>
  <c r="F26" i="5" s="1"/>
  <c r="F27" i="5"/>
  <c r="F33" i="5"/>
  <c r="F59" i="5"/>
  <c r="F50" i="5"/>
  <c r="F52" i="5" s="1"/>
  <c r="F53" i="5"/>
  <c r="E59" i="5"/>
  <c r="E53" i="5"/>
  <c r="L50" i="5"/>
  <c r="L52" i="5" s="1"/>
  <c r="L53" i="5"/>
  <c r="P71" i="5"/>
  <c r="R11" i="5"/>
  <c r="R13" i="5" s="1"/>
  <c r="R14" i="5"/>
  <c r="R62" i="5"/>
  <c r="S11" i="5"/>
  <c r="S13" i="5" s="1"/>
  <c r="E23" i="1"/>
  <c r="E12" i="7"/>
  <c r="N14" i="5"/>
  <c r="N62" i="5"/>
  <c r="N11" i="5"/>
  <c r="N13" i="5" s="1"/>
  <c r="N24" i="5"/>
  <c r="N26" i="5" s="1"/>
  <c r="N27" i="5"/>
  <c r="N37" i="5"/>
  <c r="N39" i="5" s="1"/>
  <c r="N40" i="5"/>
  <c r="C33" i="5"/>
  <c r="C27" i="5"/>
  <c r="C24" i="5"/>
  <c r="C26" i="5" s="1"/>
  <c r="I32" i="4"/>
  <c r="I33" i="4"/>
  <c r="I31" i="4"/>
  <c r="I30" i="4"/>
  <c r="I19" i="4"/>
  <c r="I10" i="6" s="1"/>
  <c r="K64" i="5"/>
  <c r="J71" i="5"/>
  <c r="K71" i="5"/>
  <c r="P32" i="4"/>
  <c r="P33" i="4"/>
  <c r="P19" i="4"/>
  <c r="P10" i="6" s="1"/>
  <c r="P31" i="4"/>
  <c r="P30" i="4"/>
  <c r="F62" i="5"/>
  <c r="F14" i="5"/>
  <c r="F11" i="5"/>
  <c r="F13" i="5" s="1"/>
  <c r="F20" i="5"/>
  <c r="O14" i="5"/>
  <c r="O11" i="5"/>
  <c r="O13" i="5" s="1"/>
  <c r="O62" i="5"/>
  <c r="M62" i="5"/>
  <c r="M11" i="5"/>
  <c r="M13" i="5" s="1"/>
  <c r="M14" i="5"/>
  <c r="L27" i="5"/>
  <c r="L24" i="5"/>
  <c r="L26" i="5" s="1"/>
  <c r="F30" i="4"/>
  <c r="F32" i="4"/>
  <c r="F33" i="4"/>
  <c r="F31" i="4"/>
  <c r="F19" i="4"/>
  <c r="F10" i="6" s="1"/>
  <c r="T62" i="5"/>
  <c r="T11" i="5"/>
  <c r="T13" i="5" s="1"/>
  <c r="T14" i="5"/>
  <c r="M37" i="5"/>
  <c r="M39" i="5" s="1"/>
  <c r="M40" i="5"/>
  <c r="O53" i="5"/>
  <c r="O50" i="5"/>
  <c r="O52" i="5" s="1"/>
  <c r="K11" i="6"/>
  <c r="K14" i="6"/>
  <c r="M31" i="4"/>
  <c r="M30" i="4"/>
  <c r="M19" i="4"/>
  <c r="M10" i="6" s="1"/>
  <c r="M32" i="4"/>
  <c r="M33" i="4"/>
  <c r="P64" i="5"/>
  <c r="R27" i="5"/>
  <c r="R24" i="5"/>
  <c r="R26" i="5" s="1"/>
  <c r="S24" i="5"/>
  <c r="S26" i="5" s="1"/>
  <c r="Q63" i="5"/>
  <c r="D25" i="4"/>
  <c r="D23" i="5" s="1"/>
  <c r="D27" i="4"/>
  <c r="D49" i="5" s="1"/>
  <c r="E50" i="5" s="1"/>
  <c r="E52" i="5" s="1"/>
  <c r="D20" i="4"/>
  <c r="D26" i="4"/>
  <c r="D36" i="5" s="1"/>
  <c r="E13" i="4"/>
  <c r="E14" i="4" s="1"/>
  <c r="D24" i="4"/>
  <c r="D10" i="5" s="1"/>
  <c r="I40" i="5" l="1"/>
  <c r="I37" i="5"/>
  <c r="I39" i="5" s="1"/>
  <c r="J37" i="5"/>
  <c r="J39" i="5" s="1"/>
  <c r="I62" i="5"/>
  <c r="I71" i="5" s="1"/>
  <c r="J11" i="5"/>
  <c r="J13" i="5" s="1"/>
  <c r="I14" i="5"/>
  <c r="R64" i="5"/>
  <c r="L63" i="5"/>
  <c r="U64" i="5"/>
  <c r="C11" i="5"/>
  <c r="C13" i="5" s="1"/>
  <c r="I27" i="5"/>
  <c r="J24" i="5"/>
  <c r="J26" i="5" s="1"/>
  <c r="S63" i="5"/>
  <c r="P63" i="5"/>
  <c r="C14" i="5"/>
  <c r="C64" i="5" s="1"/>
  <c r="J50" i="5"/>
  <c r="J52" i="5" s="1"/>
  <c r="I50" i="5"/>
  <c r="I52" i="5" s="1"/>
  <c r="I63" i="5" s="1"/>
  <c r="I53" i="5"/>
  <c r="J32" i="4"/>
  <c r="J31" i="4"/>
  <c r="J30" i="4"/>
  <c r="J19" i="4"/>
  <c r="J10" i="6" s="1"/>
  <c r="J33" i="4"/>
  <c r="R63" i="5"/>
  <c r="U63" i="5"/>
  <c r="O64" i="5"/>
  <c r="C20" i="5"/>
  <c r="Q15" i="6"/>
  <c r="Q16" i="6"/>
  <c r="H14" i="6"/>
  <c r="H11" i="6"/>
  <c r="L64" i="5"/>
  <c r="O14" i="6"/>
  <c r="O11" i="6"/>
  <c r="C63" i="5"/>
  <c r="C17" i="5"/>
  <c r="C18" i="5" s="1"/>
  <c r="D62" i="5"/>
  <c r="D14" i="5"/>
  <c r="D20" i="5"/>
  <c r="D11" i="5"/>
  <c r="D13" i="5" s="1"/>
  <c r="M71" i="5"/>
  <c r="R71" i="5"/>
  <c r="L15" i="6"/>
  <c r="L16" i="6"/>
  <c r="E32" i="4"/>
  <c r="E31" i="4"/>
  <c r="E30" i="4"/>
  <c r="E33" i="4"/>
  <c r="E19" i="4"/>
  <c r="E10" i="6" s="1"/>
  <c r="V64" i="5"/>
  <c r="C14" i="6"/>
  <c r="C11" i="6"/>
  <c r="H63" i="5"/>
  <c r="D46" i="5"/>
  <c r="D37" i="5"/>
  <c r="D39" i="5" s="1"/>
  <c r="D40" i="5"/>
  <c r="S11" i="6"/>
  <c r="S14" i="6"/>
  <c r="T11" i="6"/>
  <c r="T14" i="6"/>
  <c r="V11" i="6"/>
  <c r="V14" i="6"/>
  <c r="O63" i="5"/>
  <c r="V71" i="5"/>
  <c r="C18" i="7"/>
  <c r="C20" i="7" s="1"/>
  <c r="P11" i="6"/>
  <c r="P14" i="6"/>
  <c r="E64" i="5"/>
  <c r="H64" i="5"/>
  <c r="D14" i="6"/>
  <c r="D11" i="6"/>
  <c r="M63" i="5"/>
  <c r="O71" i="5"/>
  <c r="M11" i="6"/>
  <c r="M14" i="6"/>
  <c r="N63" i="5"/>
  <c r="N64" i="5"/>
  <c r="M64" i="5"/>
  <c r="V63" i="5"/>
  <c r="C71" i="5"/>
  <c r="C70" i="5"/>
  <c r="E37" i="5"/>
  <c r="E39" i="5" s="1"/>
  <c r="D50" i="5"/>
  <c r="D52" i="5" s="1"/>
  <c r="D53" i="5"/>
  <c r="D59" i="5"/>
  <c r="G71" i="5"/>
  <c r="U71" i="5"/>
  <c r="H71" i="5"/>
  <c r="E70" i="5"/>
  <c r="E71" i="5"/>
  <c r="C43" i="5"/>
  <c r="C44" i="5"/>
  <c r="N71" i="5"/>
  <c r="L71" i="5"/>
  <c r="K15" i="6"/>
  <c r="K16" i="6"/>
  <c r="K13" i="6"/>
  <c r="K12" i="6"/>
  <c r="I14" i="6"/>
  <c r="I11" i="6"/>
  <c r="L13" i="6"/>
  <c r="L12" i="6"/>
  <c r="C30" i="5"/>
  <c r="C31" i="5"/>
  <c r="D24" i="5"/>
  <c r="D26" i="5" s="1"/>
  <c r="D33" i="5"/>
  <c r="D27" i="5"/>
  <c r="F63" i="5"/>
  <c r="T71" i="5"/>
  <c r="R11" i="6"/>
  <c r="R14" i="6"/>
  <c r="F14" i="6"/>
  <c r="F11" i="6"/>
  <c r="G64" i="5"/>
  <c r="N11" i="6"/>
  <c r="N14" i="6"/>
  <c r="U14" i="6"/>
  <c r="U11" i="6"/>
  <c r="T64" i="5"/>
  <c r="T63" i="5"/>
  <c r="G63" i="5"/>
  <c r="F64" i="5"/>
  <c r="E24" i="5"/>
  <c r="E26" i="5" s="1"/>
  <c r="F71" i="5"/>
  <c r="F70" i="5"/>
  <c r="G14" i="6"/>
  <c r="G11" i="6"/>
  <c r="Q13" i="6"/>
  <c r="Q12" i="6"/>
  <c r="E11" i="5"/>
  <c r="E13" i="5" s="1"/>
  <c r="C56" i="5"/>
  <c r="C57" i="5" s="1"/>
  <c r="K17" i="6" l="1"/>
  <c r="I64" i="5"/>
  <c r="J63" i="5"/>
  <c r="J14" i="6"/>
  <c r="J11" i="6"/>
  <c r="D51" i="5"/>
  <c r="C58" i="5"/>
  <c r="C68" i="5"/>
  <c r="C75" i="5" s="1"/>
  <c r="D12" i="5"/>
  <c r="C19" i="5"/>
  <c r="G16" i="6"/>
  <c r="G15" i="6"/>
  <c r="D38" i="5"/>
  <c r="C45" i="5"/>
  <c r="M15" i="6"/>
  <c r="M16" i="6"/>
  <c r="S16" i="6"/>
  <c r="S15" i="6"/>
  <c r="S17" i="6" s="1"/>
  <c r="D63" i="5"/>
  <c r="D25" i="5"/>
  <c r="C32" i="5"/>
  <c r="M13" i="6"/>
  <c r="M12" i="6"/>
  <c r="D70" i="5"/>
  <c r="D71" i="5"/>
  <c r="G13" i="6"/>
  <c r="G12" i="6"/>
  <c r="V16" i="6"/>
  <c r="V15" i="6"/>
  <c r="V17" i="6" s="1"/>
  <c r="T16" i="6"/>
  <c r="T15" i="6"/>
  <c r="T17" i="6" s="1"/>
  <c r="S12" i="6"/>
  <c r="S13" i="6"/>
  <c r="D64" i="5"/>
  <c r="T13" i="6"/>
  <c r="T12" i="6"/>
  <c r="U13" i="6"/>
  <c r="U12" i="6"/>
  <c r="D13" i="6"/>
  <c r="D12" i="6"/>
  <c r="C13" i="6"/>
  <c r="C12" i="6"/>
  <c r="O16" i="6"/>
  <c r="O15" i="6"/>
  <c r="O17" i="6" s="1"/>
  <c r="O13" i="6"/>
  <c r="O12" i="6"/>
  <c r="P16" i="6"/>
  <c r="P15" i="6"/>
  <c r="P17" i="6" s="1"/>
  <c r="V13" i="6"/>
  <c r="V12" i="6"/>
  <c r="D15" i="6"/>
  <c r="D16" i="6"/>
  <c r="N16" i="6"/>
  <c r="N15" i="6"/>
  <c r="N17" i="6" s="1"/>
  <c r="I13" i="6"/>
  <c r="I12" i="6"/>
  <c r="C16" i="6"/>
  <c r="C15" i="6"/>
  <c r="C17" i="6" s="1"/>
  <c r="F13" i="6"/>
  <c r="F12" i="6"/>
  <c r="H13" i="6"/>
  <c r="H12" i="6"/>
  <c r="I16" i="6"/>
  <c r="I15" i="6"/>
  <c r="F16" i="6"/>
  <c r="F15" i="6"/>
  <c r="F17" i="6" s="1"/>
  <c r="H16" i="6"/>
  <c r="H15" i="6"/>
  <c r="H17" i="6" s="1"/>
  <c r="R16" i="6"/>
  <c r="R15" i="6"/>
  <c r="R17" i="6" s="1"/>
  <c r="L17" i="6"/>
  <c r="C67" i="5"/>
  <c r="U16" i="6"/>
  <c r="U15" i="6"/>
  <c r="N13" i="6"/>
  <c r="N12" i="6"/>
  <c r="E14" i="6"/>
  <c r="E11" i="6"/>
  <c r="P13" i="6"/>
  <c r="P12" i="6"/>
  <c r="E63" i="5"/>
  <c r="R13" i="6"/>
  <c r="R12" i="6"/>
  <c r="D11" i="9"/>
  <c r="H7" i="9"/>
  <c r="C11" i="9"/>
  <c r="G7" i="9"/>
  <c r="H10" i="9"/>
  <c r="F7" i="9"/>
  <c r="G10" i="9"/>
  <c r="E7" i="9"/>
  <c r="F10" i="9"/>
  <c r="D7" i="9"/>
  <c r="E10" i="9"/>
  <c r="C7" i="9"/>
  <c r="C10" i="9"/>
  <c r="G9" i="9"/>
  <c r="F8" i="9"/>
  <c r="D8" i="9"/>
  <c r="E8" i="9"/>
  <c r="C8" i="9"/>
  <c r="H11" i="9"/>
  <c r="F11" i="9"/>
  <c r="G11" i="9"/>
  <c r="E11" i="9"/>
  <c r="E9" i="9"/>
  <c r="D9" i="9"/>
  <c r="C9" i="9"/>
  <c r="H8" i="9"/>
  <c r="G8" i="9"/>
  <c r="D10" i="9"/>
  <c r="H9" i="9"/>
  <c r="F9" i="9"/>
  <c r="Q17" i="6"/>
  <c r="J15" i="6" l="1"/>
  <c r="J17" i="6" s="1"/>
  <c r="J16" i="6"/>
  <c r="J13" i="6"/>
  <c r="J12" i="6"/>
  <c r="E32" i="6"/>
  <c r="E16" i="1" s="1"/>
  <c r="G32" i="6"/>
  <c r="M17" i="6"/>
  <c r="U17" i="6"/>
  <c r="D41" i="5"/>
  <c r="D43" i="5"/>
  <c r="D42" i="5"/>
  <c r="D44" i="5" s="1"/>
  <c r="E38" i="5" s="1"/>
  <c r="I17" i="6"/>
  <c r="F32" i="6"/>
  <c r="F16" i="1" s="1"/>
  <c r="G17" i="6"/>
  <c r="C69" i="5"/>
  <c r="C74" i="5" s="1"/>
  <c r="C18" i="6" s="1"/>
  <c r="F33" i="6"/>
  <c r="F17" i="1" s="1"/>
  <c r="E13" i="6"/>
  <c r="E12" i="6"/>
  <c r="D32" i="6"/>
  <c r="D16" i="1" s="1"/>
  <c r="E16" i="6"/>
  <c r="E15" i="6"/>
  <c r="D17" i="6"/>
  <c r="D29" i="5"/>
  <c r="D30" i="5"/>
  <c r="D28" i="5"/>
  <c r="E33" i="6"/>
  <c r="E17" i="1" s="1"/>
  <c r="D17" i="5"/>
  <c r="D15" i="5"/>
  <c r="D16" i="5"/>
  <c r="D55" i="5"/>
  <c r="D56" i="5"/>
  <c r="D54" i="5"/>
  <c r="D57" i="5" l="1"/>
  <c r="D31" i="5"/>
  <c r="E17" i="6"/>
  <c r="C33" i="6" s="1"/>
  <c r="C17" i="1" s="1"/>
  <c r="E51" i="5"/>
  <c r="D58" i="5"/>
  <c r="E25" i="5"/>
  <c r="D32" i="5"/>
  <c r="E43" i="5"/>
  <c r="E41" i="5"/>
  <c r="E42" i="5"/>
  <c r="C28" i="6"/>
  <c r="G19" i="9"/>
  <c r="E19" i="9"/>
  <c r="C19" i="9"/>
  <c r="F19" i="9"/>
  <c r="D19" i="9"/>
  <c r="G16" i="1"/>
  <c r="G33" i="6"/>
  <c r="G17" i="1" s="1"/>
  <c r="C32" i="6"/>
  <c r="C16" i="1" s="1"/>
  <c r="D33" i="6"/>
  <c r="D17" i="1" s="1"/>
  <c r="D66" i="5"/>
  <c r="D65" i="5"/>
  <c r="C19" i="6"/>
  <c r="C24" i="6" s="1"/>
  <c r="C27" i="6"/>
  <c r="D18" i="5"/>
  <c r="D67" i="5"/>
  <c r="D45" i="5"/>
  <c r="E44" i="5" l="1"/>
  <c r="F38" i="5"/>
  <c r="E45" i="5"/>
  <c r="E12" i="5"/>
  <c r="D68" i="5"/>
  <c r="D75" i="5" s="1"/>
  <c r="D19" i="5"/>
  <c r="D69" i="5" s="1"/>
  <c r="D74" i="5" s="1"/>
  <c r="D18" i="6" s="1"/>
  <c r="E29" i="5"/>
  <c r="E28" i="5"/>
  <c r="E30" i="5"/>
  <c r="C22" i="6"/>
  <c r="C23" i="6"/>
  <c r="E54" i="5"/>
  <c r="E56" i="5"/>
  <c r="E55" i="5"/>
  <c r="E57" i="5" s="1"/>
  <c r="E31" i="5" l="1"/>
  <c r="F25" i="5" s="1"/>
  <c r="E32" i="5"/>
  <c r="F51" i="5"/>
  <c r="E58" i="5"/>
  <c r="D28" i="6"/>
  <c r="D27" i="6"/>
  <c r="D19" i="6"/>
  <c r="E17" i="5"/>
  <c r="E67" i="5" s="1"/>
  <c r="E16" i="5"/>
  <c r="E66" i="5" s="1"/>
  <c r="E15" i="5"/>
  <c r="E65" i="5" s="1"/>
  <c r="F42" i="5"/>
  <c r="F43" i="5"/>
  <c r="F41" i="5"/>
  <c r="F44" i="5" s="1"/>
  <c r="G38" i="5" s="1"/>
  <c r="G42" i="5" l="1"/>
  <c r="G43" i="5"/>
  <c r="G41" i="5"/>
  <c r="G44" i="5" s="1"/>
  <c r="F45" i="5"/>
  <c r="E18" i="5"/>
  <c r="D22" i="6"/>
  <c r="D23" i="6"/>
  <c r="D24" i="6"/>
  <c r="F54" i="5"/>
  <c r="F56" i="5"/>
  <c r="F55" i="5"/>
  <c r="F57" i="5" s="1"/>
  <c r="F28" i="5"/>
  <c r="F29" i="5"/>
  <c r="F30" i="5"/>
  <c r="F31" i="5" l="1"/>
  <c r="G51" i="5"/>
  <c r="F58" i="5"/>
  <c r="G25" i="5"/>
  <c r="F32" i="5"/>
  <c r="H38" i="5"/>
  <c r="G46" i="5"/>
  <c r="G45" i="5"/>
  <c r="F12" i="5"/>
  <c r="E68" i="5"/>
  <c r="E75" i="5" s="1"/>
  <c r="E19" i="5"/>
  <c r="E69" i="5" s="1"/>
  <c r="E74" i="5" s="1"/>
  <c r="E18" i="6" s="1"/>
  <c r="E28" i="6" l="1"/>
  <c r="E19" i="6"/>
  <c r="E27" i="6"/>
  <c r="F17" i="5"/>
  <c r="F67" i="5" s="1"/>
  <c r="F16" i="5"/>
  <c r="F66" i="5" s="1"/>
  <c r="F15" i="5"/>
  <c r="F65" i="5" s="1"/>
  <c r="H42" i="5"/>
  <c r="H43" i="5"/>
  <c r="H41" i="5"/>
  <c r="G30" i="5"/>
  <c r="G28" i="5"/>
  <c r="G29" i="5"/>
  <c r="G54" i="5"/>
  <c r="G55" i="5"/>
  <c r="G56" i="5"/>
  <c r="H44" i="5" l="1"/>
  <c r="G57" i="5"/>
  <c r="G31" i="5"/>
  <c r="H25" i="5"/>
  <c r="G33" i="5"/>
  <c r="G32" i="5"/>
  <c r="H51" i="5"/>
  <c r="G59" i="5"/>
  <c r="G58" i="5"/>
  <c r="I38" i="5"/>
  <c r="H46" i="5"/>
  <c r="H45" i="5"/>
  <c r="E23" i="6"/>
  <c r="E22" i="6"/>
  <c r="E24" i="6"/>
  <c r="F18" i="5"/>
  <c r="F68" i="5" l="1"/>
  <c r="G12" i="5"/>
  <c r="F19" i="5"/>
  <c r="F69" i="5" s="1"/>
  <c r="F74" i="5" s="1"/>
  <c r="F18" i="6" s="1"/>
  <c r="I43" i="5"/>
  <c r="I42" i="5"/>
  <c r="I41" i="5"/>
  <c r="I44" i="5" s="1"/>
  <c r="H56" i="5"/>
  <c r="H55" i="5"/>
  <c r="H54" i="5"/>
  <c r="H57" i="5"/>
  <c r="H30" i="5"/>
  <c r="H28" i="5"/>
  <c r="H29" i="5"/>
  <c r="H31" i="5" l="1"/>
  <c r="I25" i="5"/>
  <c r="H33" i="5"/>
  <c r="H32" i="5"/>
  <c r="J38" i="5"/>
  <c r="I46" i="5"/>
  <c r="I45" i="5"/>
  <c r="I51" i="5"/>
  <c r="H59" i="5"/>
  <c r="G15" i="5"/>
  <c r="G65" i="5" s="1"/>
  <c r="G16" i="5"/>
  <c r="G66" i="5" s="1"/>
  <c r="G17" i="5"/>
  <c r="G67" i="5" s="1"/>
  <c r="H58" i="5"/>
  <c r="F28" i="6"/>
  <c r="F19" i="6"/>
  <c r="F24" i="6" s="1"/>
  <c r="F27" i="6"/>
  <c r="C34" i="6"/>
  <c r="C39" i="6"/>
  <c r="F75" i="5"/>
  <c r="C37" i="6" l="1"/>
  <c r="C21" i="1" s="1"/>
  <c r="C18" i="1"/>
  <c r="C38" i="6"/>
  <c r="C11" i="7"/>
  <c r="C13" i="7" s="1"/>
  <c r="C15" i="7" s="1"/>
  <c r="C22" i="1"/>
  <c r="F23" i="6"/>
  <c r="F22" i="6"/>
  <c r="C35" i="6"/>
  <c r="C19" i="1" s="1"/>
  <c r="G18" i="5"/>
  <c r="I56" i="5"/>
  <c r="I55" i="5"/>
  <c r="I54" i="5"/>
  <c r="J43" i="5"/>
  <c r="J42" i="5"/>
  <c r="J41" i="5"/>
  <c r="I30" i="5"/>
  <c r="I29" i="5"/>
  <c r="I28" i="5"/>
  <c r="I31" i="5" s="1"/>
  <c r="J44" i="5" l="1"/>
  <c r="I57" i="5"/>
  <c r="J25" i="5"/>
  <c r="I33" i="5"/>
  <c r="I32" i="5"/>
  <c r="K38" i="5"/>
  <c r="J46" i="5"/>
  <c r="J45" i="5"/>
  <c r="J51" i="5"/>
  <c r="I59" i="5"/>
  <c r="I58" i="5"/>
  <c r="G68" i="5"/>
  <c r="H12" i="5"/>
  <c r="G20" i="5"/>
  <c r="G19" i="5"/>
  <c r="G69" i="5" s="1"/>
  <c r="G74" i="5" s="1"/>
  <c r="G18" i="6" s="1"/>
  <c r="C36" i="6"/>
  <c r="C20" i="1" s="1"/>
  <c r="G28" i="6" l="1"/>
  <c r="G27" i="6"/>
  <c r="G19" i="6"/>
  <c r="H15" i="5"/>
  <c r="H65" i="5" s="1"/>
  <c r="H16" i="5"/>
  <c r="H66" i="5" s="1"/>
  <c r="H17" i="5"/>
  <c r="H67" i="5" s="1"/>
  <c r="G75" i="5"/>
  <c r="G70" i="5"/>
  <c r="J56" i="5"/>
  <c r="J55" i="5"/>
  <c r="J54" i="5"/>
  <c r="J57" i="5" s="1"/>
  <c r="K43" i="5"/>
  <c r="K41" i="5"/>
  <c r="K42" i="5"/>
  <c r="J30" i="5"/>
  <c r="J29" i="5"/>
  <c r="J28" i="5"/>
  <c r="J31" i="5" l="1"/>
  <c r="K44" i="5"/>
  <c r="L38" i="5"/>
  <c r="K46" i="5"/>
  <c r="K45" i="5"/>
  <c r="K25" i="5"/>
  <c r="J33" i="5"/>
  <c r="J32" i="5"/>
  <c r="K51" i="5"/>
  <c r="J59" i="5"/>
  <c r="J58" i="5"/>
  <c r="G22" i="6"/>
  <c r="G23" i="6"/>
  <c r="G24" i="6"/>
  <c r="H18" i="5"/>
  <c r="I12" i="5" l="1"/>
  <c r="H68" i="5"/>
  <c r="H20" i="5"/>
  <c r="H19" i="5"/>
  <c r="H69" i="5" s="1"/>
  <c r="H74" i="5" s="1"/>
  <c r="H18" i="6" s="1"/>
  <c r="K55" i="5"/>
  <c r="K54" i="5"/>
  <c r="K57" i="5" s="1"/>
  <c r="K56" i="5"/>
  <c r="K30" i="5"/>
  <c r="K28" i="5"/>
  <c r="K29" i="5"/>
  <c r="K31" i="5" s="1"/>
  <c r="L43" i="5"/>
  <c r="L42" i="5"/>
  <c r="L44" i="5" s="1"/>
  <c r="L41" i="5"/>
  <c r="L25" i="5" l="1"/>
  <c r="K33" i="5"/>
  <c r="K32" i="5"/>
  <c r="L51" i="5"/>
  <c r="K59" i="5"/>
  <c r="K58" i="5"/>
  <c r="H75" i="5"/>
  <c r="H70" i="5"/>
  <c r="M38" i="5"/>
  <c r="L46" i="5"/>
  <c r="L45" i="5"/>
  <c r="H28" i="6"/>
  <c r="H27" i="6"/>
  <c r="H19" i="6"/>
  <c r="I17" i="5"/>
  <c r="I67" i="5" s="1"/>
  <c r="I16" i="5"/>
  <c r="I66" i="5" s="1"/>
  <c r="I15" i="5"/>
  <c r="I65" i="5" s="1"/>
  <c r="I18" i="5" l="1"/>
  <c r="H22" i="6"/>
  <c r="H23" i="6"/>
  <c r="H24" i="6"/>
  <c r="M43" i="5"/>
  <c r="M42" i="5"/>
  <c r="M41" i="5"/>
  <c r="M44" i="5"/>
  <c r="M45" i="5" s="1"/>
  <c r="L55" i="5"/>
  <c r="L57" i="5" s="1"/>
  <c r="L58" i="5" s="1"/>
  <c r="L54" i="5"/>
  <c r="L56" i="5"/>
  <c r="L29" i="5"/>
  <c r="L28" i="5"/>
  <c r="L30" i="5"/>
  <c r="L31" i="5" l="1"/>
  <c r="M25" i="5"/>
  <c r="L33" i="5"/>
  <c r="L32" i="5"/>
  <c r="M51" i="5"/>
  <c r="L59" i="5"/>
  <c r="N38" i="5"/>
  <c r="M46" i="5"/>
  <c r="J12" i="5"/>
  <c r="I68" i="5"/>
  <c r="I20" i="5"/>
  <c r="I19" i="5"/>
  <c r="I69" i="5" s="1"/>
  <c r="I74" i="5" s="1"/>
  <c r="I18" i="6" s="1"/>
  <c r="J17" i="5" l="1"/>
  <c r="J67" i="5" s="1"/>
  <c r="J16" i="5"/>
  <c r="J66" i="5" s="1"/>
  <c r="J15" i="5"/>
  <c r="J65" i="5" s="1"/>
  <c r="M55" i="5"/>
  <c r="M54" i="5"/>
  <c r="M56" i="5"/>
  <c r="M57" i="5" s="1"/>
  <c r="I28" i="6"/>
  <c r="I27" i="6"/>
  <c r="I19" i="6"/>
  <c r="I75" i="5"/>
  <c r="I70" i="5"/>
  <c r="N43" i="5"/>
  <c r="N42" i="5"/>
  <c r="N41" i="5"/>
  <c r="M28" i="5"/>
  <c r="M29" i="5"/>
  <c r="M30" i="5"/>
  <c r="M31" i="5" l="1"/>
  <c r="N44" i="5"/>
  <c r="N25" i="5"/>
  <c r="M33" i="5"/>
  <c r="M32" i="5"/>
  <c r="O38" i="5"/>
  <c r="N46" i="5"/>
  <c r="N45" i="5"/>
  <c r="N51" i="5"/>
  <c r="M59" i="5"/>
  <c r="M58" i="5"/>
  <c r="J18" i="5"/>
  <c r="I22" i="6"/>
  <c r="I23" i="6"/>
  <c r="I24" i="6"/>
  <c r="J68" i="5" l="1"/>
  <c r="K12" i="5"/>
  <c r="J20" i="5"/>
  <c r="J19" i="5"/>
  <c r="J69" i="5" s="1"/>
  <c r="J74" i="5" s="1"/>
  <c r="J18" i="6" s="1"/>
  <c r="N54" i="5"/>
  <c r="N55" i="5"/>
  <c r="N56" i="5"/>
  <c r="O42" i="5"/>
  <c r="O44" i="5" s="1"/>
  <c r="O43" i="5"/>
  <c r="O41" i="5"/>
  <c r="N28" i="5"/>
  <c r="N30" i="5"/>
  <c r="N29" i="5"/>
  <c r="N31" i="5" l="1"/>
  <c r="N57" i="5"/>
  <c r="O25" i="5"/>
  <c r="N33" i="5"/>
  <c r="N32" i="5"/>
  <c r="O51" i="5"/>
  <c r="N59" i="5"/>
  <c r="N58" i="5"/>
  <c r="P38" i="5"/>
  <c r="O46" i="5"/>
  <c r="O45" i="5"/>
  <c r="K15" i="5"/>
  <c r="K65" i="5" s="1"/>
  <c r="K16" i="5"/>
  <c r="K66" i="5" s="1"/>
  <c r="K17" i="5"/>
  <c r="K67" i="5" s="1"/>
  <c r="J28" i="6"/>
  <c r="J27" i="6"/>
  <c r="J19" i="6"/>
  <c r="D34" i="6"/>
  <c r="J75" i="5"/>
  <c r="D39" i="6"/>
  <c r="J70" i="5"/>
  <c r="J22" i="6" l="1"/>
  <c r="J23" i="6"/>
  <c r="D35" i="6"/>
  <c r="D19" i="1" s="1"/>
  <c r="J24" i="6"/>
  <c r="P41" i="5"/>
  <c r="P43" i="5"/>
  <c r="P42" i="5"/>
  <c r="O56" i="5"/>
  <c r="O55" i="5"/>
  <c r="O54" i="5"/>
  <c r="O57" i="5" s="1"/>
  <c r="D37" i="6"/>
  <c r="D21" i="1" s="1"/>
  <c r="D38" i="6"/>
  <c r="D36" i="6"/>
  <c r="D20" i="1" s="1"/>
  <c r="D18" i="1"/>
  <c r="K18" i="5"/>
  <c r="D11" i="7"/>
  <c r="D13" i="7" s="1"/>
  <c r="D15" i="7" s="1"/>
  <c r="D22" i="1"/>
  <c r="O30" i="5"/>
  <c r="O29" i="5"/>
  <c r="O28" i="5"/>
  <c r="O31" i="5" s="1"/>
  <c r="P44" i="5" l="1"/>
  <c r="P25" i="5"/>
  <c r="O33" i="5"/>
  <c r="O32" i="5"/>
  <c r="P51" i="5"/>
  <c r="O59" i="5"/>
  <c r="O58" i="5"/>
  <c r="Q38" i="5"/>
  <c r="P46" i="5"/>
  <c r="P45" i="5"/>
  <c r="K68" i="5"/>
  <c r="L12" i="5"/>
  <c r="K20" i="5"/>
  <c r="K19" i="5"/>
  <c r="K69" i="5" s="1"/>
  <c r="K74" i="5" s="1"/>
  <c r="K18" i="6" s="1"/>
  <c r="K28" i="6" l="1"/>
  <c r="K19" i="6"/>
  <c r="K27" i="6"/>
  <c r="P56" i="5"/>
  <c r="P55" i="5"/>
  <c r="P54" i="5"/>
  <c r="P57" i="5" s="1"/>
  <c r="L16" i="5"/>
  <c r="L66" i="5" s="1"/>
  <c r="L15" i="5"/>
  <c r="L65" i="5" s="1"/>
  <c r="L17" i="5"/>
  <c r="L67" i="5" s="1"/>
  <c r="K75" i="5"/>
  <c r="K70" i="5"/>
  <c r="Q43" i="5"/>
  <c r="Q41" i="5"/>
  <c r="Q42" i="5"/>
  <c r="P28" i="5"/>
  <c r="P30" i="5"/>
  <c r="P29" i="5"/>
  <c r="P31" i="5" s="1"/>
  <c r="Q44" i="5" l="1"/>
  <c r="R38" i="5"/>
  <c r="Q46" i="5"/>
  <c r="Q45" i="5"/>
  <c r="Q25" i="5"/>
  <c r="P33" i="5"/>
  <c r="P32" i="5"/>
  <c r="Q51" i="5"/>
  <c r="P59" i="5"/>
  <c r="P58" i="5"/>
  <c r="L18" i="5"/>
  <c r="K22" i="6"/>
  <c r="K23" i="6"/>
  <c r="K24" i="6"/>
  <c r="L68" i="5" l="1"/>
  <c r="M12" i="5"/>
  <c r="L20" i="5"/>
  <c r="L19" i="5"/>
  <c r="L69" i="5" s="1"/>
  <c r="L74" i="5" s="1"/>
  <c r="L18" i="6" s="1"/>
  <c r="Q29" i="5"/>
  <c r="Q30" i="5"/>
  <c r="Q28" i="5"/>
  <c r="Q31" i="5" s="1"/>
  <c r="Q56" i="5"/>
  <c r="Q54" i="5"/>
  <c r="Q55" i="5"/>
  <c r="R41" i="5"/>
  <c r="R42" i="5"/>
  <c r="R43" i="5"/>
  <c r="R44" i="5" l="1"/>
  <c r="Q57" i="5"/>
  <c r="R51" i="5"/>
  <c r="Q59" i="5"/>
  <c r="Q58" i="5"/>
  <c r="S38" i="5"/>
  <c r="R46" i="5"/>
  <c r="R45" i="5"/>
  <c r="R25" i="5"/>
  <c r="Q33" i="5"/>
  <c r="Q32" i="5"/>
  <c r="L28" i="6"/>
  <c r="L27" i="6"/>
  <c r="L19" i="6"/>
  <c r="M15" i="5"/>
  <c r="M65" i="5" s="1"/>
  <c r="M16" i="5"/>
  <c r="M66" i="5" s="1"/>
  <c r="M17" i="5"/>
  <c r="M67" i="5" s="1"/>
  <c r="L75" i="5"/>
  <c r="L70" i="5"/>
  <c r="L22" i="6" l="1"/>
  <c r="L23" i="6"/>
  <c r="L24" i="6"/>
  <c r="S41" i="5"/>
  <c r="S42" i="5"/>
  <c r="S43" i="5"/>
  <c r="M18" i="5"/>
  <c r="R29" i="5"/>
  <c r="R28" i="5"/>
  <c r="R30" i="5"/>
  <c r="R54" i="5"/>
  <c r="R56" i="5"/>
  <c r="R55" i="5"/>
  <c r="R31" i="5" l="1"/>
  <c r="R57" i="5"/>
  <c r="S44" i="5"/>
  <c r="S25" i="5"/>
  <c r="R33" i="5"/>
  <c r="R32" i="5"/>
  <c r="S51" i="5"/>
  <c r="R59" i="5"/>
  <c r="R58" i="5"/>
  <c r="T38" i="5"/>
  <c r="S46" i="5"/>
  <c r="S45" i="5"/>
  <c r="M68" i="5"/>
  <c r="N12" i="5"/>
  <c r="M20" i="5"/>
  <c r="M19" i="5"/>
  <c r="M69" i="5" s="1"/>
  <c r="M74" i="5" s="1"/>
  <c r="M18" i="6" s="1"/>
  <c r="M28" i="6" l="1"/>
  <c r="M27" i="6"/>
  <c r="M19" i="6"/>
  <c r="N16" i="5"/>
  <c r="N66" i="5" s="1"/>
  <c r="N15" i="5"/>
  <c r="N65" i="5" s="1"/>
  <c r="N17" i="5"/>
  <c r="N67" i="5" s="1"/>
  <c r="M75" i="5"/>
  <c r="M70" i="5"/>
  <c r="T42" i="5"/>
  <c r="T41" i="5"/>
  <c r="T43" i="5"/>
  <c r="S54" i="5"/>
  <c r="S56" i="5"/>
  <c r="S55" i="5"/>
  <c r="S28" i="5"/>
  <c r="S29" i="5"/>
  <c r="S30" i="5"/>
  <c r="S31" i="5" s="1"/>
  <c r="S57" i="5" l="1"/>
  <c r="T44" i="5"/>
  <c r="T51" i="5"/>
  <c r="S59" i="5"/>
  <c r="S58" i="5"/>
  <c r="T25" i="5"/>
  <c r="S33" i="5"/>
  <c r="S32" i="5"/>
  <c r="U38" i="5"/>
  <c r="T46" i="5"/>
  <c r="T45" i="5"/>
  <c r="N18" i="5"/>
  <c r="M22" i="6"/>
  <c r="M23" i="6"/>
  <c r="M24" i="6"/>
  <c r="O12" i="5" l="1"/>
  <c r="N68" i="5"/>
  <c r="N20" i="5"/>
  <c r="N19" i="5"/>
  <c r="N69" i="5" s="1"/>
  <c r="N74" i="5" s="1"/>
  <c r="N18" i="6" s="1"/>
  <c r="U43" i="5"/>
  <c r="U42" i="5"/>
  <c r="U41" i="5"/>
  <c r="T29" i="5"/>
  <c r="T28" i="5"/>
  <c r="T30" i="5"/>
  <c r="T31" i="5" s="1"/>
  <c r="T55" i="5"/>
  <c r="T56" i="5"/>
  <c r="T54" i="5"/>
  <c r="T57" i="5" s="1"/>
  <c r="U44" i="5" l="1"/>
  <c r="U51" i="5"/>
  <c r="T59" i="5"/>
  <c r="T58" i="5"/>
  <c r="U25" i="5"/>
  <c r="T33" i="5"/>
  <c r="T32" i="5"/>
  <c r="V38" i="5"/>
  <c r="U46" i="5"/>
  <c r="U45" i="5"/>
  <c r="E39" i="6"/>
  <c r="N75" i="5"/>
  <c r="N70" i="5"/>
  <c r="N28" i="6"/>
  <c r="N19" i="6"/>
  <c r="N24" i="6" s="1"/>
  <c r="N27" i="6"/>
  <c r="E34" i="6"/>
  <c r="O16" i="5"/>
  <c r="O66" i="5" s="1"/>
  <c r="O15" i="5"/>
  <c r="O65" i="5" s="1"/>
  <c r="O17" i="5"/>
  <c r="O67" i="5" s="1"/>
  <c r="E37" i="6" l="1"/>
  <c r="E21" i="1" s="1"/>
  <c r="E18" i="1"/>
  <c r="E38" i="6"/>
  <c r="N23" i="6"/>
  <c r="N22" i="6"/>
  <c r="E35" i="6"/>
  <c r="E19" i="1" s="1"/>
  <c r="E22" i="1"/>
  <c r="E11" i="7"/>
  <c r="E13" i="7" s="1"/>
  <c r="E15" i="7" s="1"/>
  <c r="V43" i="5"/>
  <c r="V41" i="5"/>
  <c r="V42" i="5"/>
  <c r="V44" i="5" s="1"/>
  <c r="U30" i="5"/>
  <c r="U29" i="5"/>
  <c r="U28" i="5"/>
  <c r="O18" i="5"/>
  <c r="U56" i="5"/>
  <c r="U55" i="5"/>
  <c r="U54" i="5"/>
  <c r="U57" i="5" s="1"/>
  <c r="U31" i="5" l="1"/>
  <c r="V51" i="5"/>
  <c r="U59" i="5"/>
  <c r="U58" i="5"/>
  <c r="V25" i="5"/>
  <c r="U33" i="5"/>
  <c r="U32" i="5"/>
  <c r="V46" i="5"/>
  <c r="E9" i="8" s="1"/>
  <c r="E16" i="8" s="1"/>
  <c r="V45" i="5"/>
  <c r="O68" i="5"/>
  <c r="P12" i="5"/>
  <c r="O20" i="5"/>
  <c r="O19" i="5"/>
  <c r="O69" i="5" s="1"/>
  <c r="O74" i="5" s="1"/>
  <c r="O18" i="6" s="1"/>
  <c r="E36" i="6"/>
  <c r="E20" i="1" s="1"/>
  <c r="O28" i="6" l="1"/>
  <c r="O27" i="6"/>
  <c r="O19" i="6"/>
  <c r="P16" i="5"/>
  <c r="P66" i="5" s="1"/>
  <c r="P17" i="5"/>
  <c r="P67" i="5" s="1"/>
  <c r="P15" i="5"/>
  <c r="P65" i="5" s="1"/>
  <c r="O75" i="5"/>
  <c r="O70" i="5"/>
  <c r="V28" i="5"/>
  <c r="V30" i="5"/>
  <c r="V29" i="5"/>
  <c r="V31" i="5" s="1"/>
  <c r="E18" i="8"/>
  <c r="E25" i="8" s="1"/>
  <c r="V55" i="5"/>
  <c r="V56" i="5"/>
  <c r="V54" i="5"/>
  <c r="V57" i="5" s="1"/>
  <c r="V59" i="5" s="1"/>
  <c r="F9" i="8" s="1"/>
  <c r="F16" i="8" s="1"/>
  <c r="V33" i="5" l="1"/>
  <c r="D9" i="8" s="1"/>
  <c r="D16" i="8" s="1"/>
  <c r="V32" i="5"/>
  <c r="E24" i="8"/>
  <c r="E22" i="8"/>
  <c r="E23" i="8" s="1"/>
  <c r="O22" i="6"/>
  <c r="O23" i="6"/>
  <c r="P18" i="5"/>
  <c r="O24" i="6"/>
  <c r="F18" i="8"/>
  <c r="V58" i="5"/>
  <c r="F22" i="8" l="1"/>
  <c r="F23" i="8" s="1"/>
  <c r="F24" i="8"/>
  <c r="F25" i="8"/>
  <c r="P68" i="5"/>
  <c r="Q12" i="5"/>
  <c r="P20" i="5"/>
  <c r="P19" i="5"/>
  <c r="P69" i="5" s="1"/>
  <c r="P74" i="5" s="1"/>
  <c r="P18" i="6" s="1"/>
  <c r="D18" i="8"/>
  <c r="D24" i="8" l="1"/>
  <c r="D22" i="8"/>
  <c r="D23" i="8" s="1"/>
  <c r="D25" i="8"/>
  <c r="Q16" i="5"/>
  <c r="Q66" i="5" s="1"/>
  <c r="Q17" i="5"/>
  <c r="Q67" i="5" s="1"/>
  <c r="Q15" i="5"/>
  <c r="Q65" i="5" s="1"/>
  <c r="P28" i="6"/>
  <c r="P27" i="6"/>
  <c r="P19" i="6"/>
  <c r="P75" i="5"/>
  <c r="P70" i="5"/>
  <c r="Q18" i="5" l="1"/>
  <c r="P23" i="6"/>
  <c r="P22" i="6"/>
  <c r="P24" i="6"/>
  <c r="Q68" i="5" l="1"/>
  <c r="R12" i="5"/>
  <c r="Q20" i="5"/>
  <c r="Q19" i="5"/>
  <c r="Q69" i="5" s="1"/>
  <c r="Q74" i="5" s="1"/>
  <c r="Q18" i="6" s="1"/>
  <c r="Q28" i="6" l="1"/>
  <c r="Q27" i="6"/>
  <c r="Q19" i="6"/>
  <c r="Q24" i="6" s="1"/>
  <c r="R15" i="5"/>
  <c r="R65" i="5" s="1"/>
  <c r="R17" i="5"/>
  <c r="R67" i="5" s="1"/>
  <c r="R16" i="5"/>
  <c r="R66" i="5" s="1"/>
  <c r="Q75" i="5"/>
  <c r="Q70" i="5"/>
  <c r="R18" i="5" l="1"/>
  <c r="Q22" i="6"/>
  <c r="Q23" i="6"/>
  <c r="S12" i="5" l="1"/>
  <c r="R68" i="5"/>
  <c r="R20" i="5"/>
  <c r="R19" i="5"/>
  <c r="R69" i="5" s="1"/>
  <c r="R74" i="5" s="1"/>
  <c r="R18" i="6" s="1"/>
  <c r="R28" i="6" l="1"/>
  <c r="R27" i="6"/>
  <c r="R19" i="6"/>
  <c r="F34" i="6"/>
  <c r="F39" i="6"/>
  <c r="R75" i="5"/>
  <c r="R70" i="5"/>
  <c r="S15" i="5"/>
  <c r="S65" i="5" s="1"/>
  <c r="S17" i="5"/>
  <c r="S67" i="5" s="1"/>
  <c r="S16" i="5"/>
  <c r="S66" i="5" s="1"/>
  <c r="S18" i="5" l="1"/>
  <c r="T12" i="5"/>
  <c r="S68" i="5"/>
  <c r="S20" i="5"/>
  <c r="S19" i="5"/>
  <c r="S69" i="5" s="1"/>
  <c r="S74" i="5" s="1"/>
  <c r="S18" i="6" s="1"/>
  <c r="F22" i="1"/>
  <c r="F11" i="7"/>
  <c r="F13" i="7" s="1"/>
  <c r="F15" i="7" s="1"/>
  <c r="F37" i="6"/>
  <c r="F21" i="1" s="1"/>
  <c r="F38" i="6"/>
  <c r="F18" i="1"/>
  <c r="R23" i="6"/>
  <c r="R22" i="6"/>
  <c r="F35" i="6"/>
  <c r="F19" i="1" s="1"/>
  <c r="R24" i="6"/>
  <c r="F36" i="6" l="1"/>
  <c r="F20" i="1" s="1"/>
  <c r="S28" i="6"/>
  <c r="S19" i="6"/>
  <c r="S27" i="6"/>
  <c r="S75" i="5"/>
  <c r="S70" i="5"/>
  <c r="T15" i="5"/>
  <c r="T65" i="5" s="1"/>
  <c r="T16" i="5"/>
  <c r="T66" i="5" s="1"/>
  <c r="T17" i="5"/>
  <c r="T67" i="5" s="1"/>
  <c r="T18" i="5" l="1"/>
  <c r="U12" i="5"/>
  <c r="T68" i="5"/>
  <c r="T20" i="5"/>
  <c r="T19" i="5"/>
  <c r="T69" i="5" s="1"/>
  <c r="T74" i="5" s="1"/>
  <c r="T18" i="6" s="1"/>
  <c r="S23" i="6"/>
  <c r="S22" i="6"/>
  <c r="S24" i="6"/>
  <c r="T28" i="6" l="1"/>
  <c r="T19" i="6"/>
  <c r="T24" i="6" s="1"/>
  <c r="T27" i="6"/>
  <c r="T75" i="5"/>
  <c r="T70" i="5"/>
  <c r="U17" i="5"/>
  <c r="U67" i="5" s="1"/>
  <c r="U16" i="5"/>
  <c r="U66" i="5" s="1"/>
  <c r="U15" i="5"/>
  <c r="U65" i="5" s="1"/>
  <c r="U18" i="5" l="1"/>
  <c r="T22" i="6"/>
  <c r="T23" i="6"/>
  <c r="U68" i="5" l="1"/>
  <c r="V12" i="5"/>
  <c r="U20" i="5"/>
  <c r="U19" i="5"/>
  <c r="U69" i="5" s="1"/>
  <c r="U74" i="5" s="1"/>
  <c r="U18" i="6" s="1"/>
  <c r="U28" i="6" l="1"/>
  <c r="U27" i="6"/>
  <c r="U19" i="6"/>
  <c r="U24" i="6" s="1"/>
  <c r="V17" i="5"/>
  <c r="V67" i="5" s="1"/>
  <c r="V16" i="5"/>
  <c r="V66" i="5" s="1"/>
  <c r="V15" i="5"/>
  <c r="V65" i="5" s="1"/>
  <c r="U75" i="5"/>
  <c r="U70" i="5"/>
  <c r="V18" i="5" l="1"/>
  <c r="U22" i="6"/>
  <c r="U23" i="6"/>
  <c r="V68" i="5" l="1"/>
  <c r="V20" i="5"/>
  <c r="C9" i="8" s="1"/>
  <c r="V19" i="5"/>
  <c r="V69" i="5" s="1"/>
  <c r="V74" i="5" s="1"/>
  <c r="V18" i="6" s="1"/>
  <c r="V28" i="6" l="1"/>
  <c r="V27" i="6"/>
  <c r="V19" i="6"/>
  <c r="G34" i="6"/>
  <c r="I9" i="8"/>
  <c r="H9" i="8"/>
  <c r="C16" i="8"/>
  <c r="G39" i="6"/>
  <c r="V75" i="5"/>
  <c r="V70" i="5"/>
  <c r="C19" i="7" s="1"/>
  <c r="C21" i="7" s="1"/>
  <c r="I16" i="8" l="1"/>
  <c r="H16" i="8"/>
  <c r="D30" i="8"/>
  <c r="F30" i="8"/>
  <c r="C30" i="8"/>
  <c r="G30" i="8"/>
  <c r="E30" i="8"/>
  <c r="C18" i="8"/>
  <c r="G22" i="1"/>
  <c r="G18" i="9"/>
  <c r="G20" i="9" s="1"/>
  <c r="F18" i="9"/>
  <c r="F20" i="9" s="1"/>
  <c r="E18" i="9"/>
  <c r="E20" i="9" s="1"/>
  <c r="D18" i="9"/>
  <c r="D20" i="9" s="1"/>
  <c r="C18" i="9"/>
  <c r="C20" i="9" s="1"/>
  <c r="G11" i="7"/>
  <c r="G13" i="7" s="1"/>
  <c r="G36" i="6"/>
  <c r="G20" i="1" s="1"/>
  <c r="G18" i="1"/>
  <c r="G38" i="6"/>
  <c r="C12" i="1" s="1"/>
  <c r="G37" i="6"/>
  <c r="G21" i="1" s="1"/>
  <c r="V22" i="6"/>
  <c r="V23" i="6"/>
  <c r="G35" i="6"/>
  <c r="G19" i="1" s="1"/>
  <c r="V24" i="6"/>
  <c r="G15" i="7" l="1"/>
  <c r="C11" i="1" s="1"/>
  <c r="C10" i="1"/>
  <c r="H18" i="8"/>
  <c r="C24" i="8"/>
  <c r="C22" i="8"/>
  <c r="I18" i="8"/>
  <c r="C25" i="8"/>
  <c r="H25" i="8"/>
  <c r="C31" i="1" s="1"/>
  <c r="I25" i="8"/>
  <c r="D31" i="1" s="1"/>
  <c r="D28" i="1" l="1"/>
  <c r="I24" i="8"/>
  <c r="I22" i="8"/>
  <c r="C23" i="8"/>
  <c r="H22" i="8"/>
  <c r="C28" i="1"/>
  <c r="H24" i="8"/>
  <c r="H23" i="8" l="1"/>
  <c r="C30" i="1" s="1"/>
  <c r="C29" i="1"/>
  <c r="I23" i="8"/>
  <c r="D30" i="1" s="1"/>
  <c r="D29" i="1"/>
</calcChain>
</file>

<file path=xl/sharedStrings.xml><?xml version="1.0" encoding="utf-8"?>
<sst xmlns="http://schemas.openxmlformats.org/spreadsheetml/2006/main" count="468" uniqueCount="323">
  <si>
    <t xml:space="preserve">  VAULTA — AUM MODEL v1</t>
  </si>
  <si>
    <t xml:space="preserve">  Does tokenized-investment AUM overtake the T-bill sleeve in Years 3-5?</t>
  </si>
  <si>
    <t xml:space="preserve">  THE MODEL</t>
  </si>
  <si>
    <t xml:space="preserve">  Customers x adoption x monthly contribution (% of wallet balance) x initial rollover at signup, compounding at the expected</t>
  </si>
  <si>
    <t xml:space="preserve">  investment return, net of redemptions and churn leakage, charged at the AUM fee. Levers are per segment on the Assumptions sheet.</t>
  </si>
  <si>
    <t xml:space="preserve">  THE ANSWER</t>
  </si>
  <si>
    <t>Required AUM as a multiple of wallet balances</t>
  </si>
  <si>
    <t>Year 5 actual AUM / balances</t>
  </si>
  <si>
    <t>Shortfall</t>
  </si>
  <si>
    <t>Does AUM overtake NIM by Year 5?</t>
  </si>
  <si>
    <t xml:space="preserve">  ANNUAL REVENUE — WHAT VAULTA KEEPS</t>
  </si>
  <si>
    <t>Metric</t>
  </si>
  <si>
    <t>Year 1</t>
  </si>
  <si>
    <t>Year 2</t>
  </si>
  <si>
    <t>Year 3</t>
  </si>
  <si>
    <t>Year 4</t>
  </si>
  <si>
    <t>Year 5</t>
  </si>
  <si>
    <t>T-bill NIM (20% sleeve)</t>
  </si>
  <si>
    <t>Transaction fees</t>
  </si>
  <si>
    <t>AUM fee</t>
  </si>
  <si>
    <t>Total retained revenue</t>
  </si>
  <si>
    <t>AUM as % of retained revenue</t>
  </si>
  <si>
    <t>AUM / NIM ratio</t>
  </si>
  <si>
    <t>Closing AUM</t>
  </si>
  <si>
    <t>Total wallet balances</t>
  </si>
  <si>
    <t xml:space="preserve">  UNIT ECONOMICS AT THE 20/80 SLEEVE</t>
  </si>
  <si>
    <t>Year 1 mix</t>
  </si>
  <si>
    <t>Year 3 mix</t>
  </si>
  <si>
    <t>Blended CAC</t>
  </si>
  <si>
    <t>Blended net contribution / month</t>
  </si>
  <si>
    <t>Blended discounted LTV</t>
  </si>
  <si>
    <t>Blended LTV : CAC</t>
  </si>
  <si>
    <t>AUM share of contribution</t>
  </si>
  <si>
    <t xml:space="preserve">  FINDINGS</t>
  </si>
  <si>
    <t>• AUM does NOT overtake the T-bill sleeve by Year 5 on researched contribution rates. The crossover needs AUM to reach 1.92x total wallet balances; the model reaches a small fraction of that.</t>
  </si>
  <si>
    <t>• The crossover is a pure ratio and does not depend on how many customers Vaulta has: AUM must exceed (T-bill rate x sleeve) / AUM fee, times wallet balances. Growth alone never triggers it.</t>
  </si>
  <si>
    <t>• Moving the sleeve to 20/80 makes the crossover EASIER, not harder — it cuts the NIM hurdle from 5.57x balances to 1.92x. But it does so by shrinking the NIM line, not by growing AUM.</t>
  </si>
  <si>
    <t>• COST OF THE 20/80 SPLIT: blended LTV:CAC falls to 1.47x at the Year 3 mix, against a 3x investability bar. Segment 1 (Underbanked) turns value-destructive at 0.32x and Segment 2 only reaches 1.21x. Only Segments 3 and 4 clear their CAC.</t>
  </si>
  <si>
    <t>• The monthly drip is not the lever. At 1-3.5% of balance per month, contributions move AUM/balances by roughly adoption x rate x months — far too slowly. The initial rollover at signup is what moves it.</t>
  </si>
  <si>
    <t>• The 0.50% fee is conservatively priced. Acorns' flat $3/month is about 1.7% of its average balance, so there is real headroom before Vaulta looks expensive.</t>
  </si>
  <si>
    <t>• Redemption/leakage at 8%/yr is a modelling judgement, not a researched figure. It is the weakest default in the workbook and is flagged on the Research sheet.</t>
  </si>
  <si>
    <t xml:space="preserve">  RESEARCH &amp; SOURCES  —  basis for every default on the Assumptions sheet</t>
  </si>
  <si>
    <t xml:space="preserve">  Researched September 2026. Where a source gave a range, the model default sits inside it and the range is stated.</t>
  </si>
  <si>
    <t>Assumption</t>
  </si>
  <si>
    <t>Default</t>
  </si>
  <si>
    <t>Basis</t>
  </si>
  <si>
    <t>Source</t>
  </si>
  <si>
    <t>0.50%/yr</t>
  </si>
  <si>
    <t>Betterment Basic and Wealthfront both charge 0.25%. Acorns charges a flat $3/mo, which on its ~$2,142 average balance is ~1.7% and ~2.5% on a $1,425 balance. 0.50% sits between the two and undercuts Acorns by ~3x for small accounts.</t>
  </si>
  <si>
    <t>unbiased.com robo-advisor comparison 2026; acorns.com/learn fee comparison</t>
  </si>
  <si>
    <t>Avg investment balance
(reference point)</t>
  </si>
  <si>
    <t>$2,142</t>
  </si>
  <si>
    <t>Acorns: $30bn AUM across 14m registered users (Jul 2026); $1,876 in 2025, $1,439 in 2024. Closest mass-market analogue to Vaulta's segments. Balance per FUNDED account is higher since registered exceeds funded.</t>
  </si>
  <si>
    <t>investingintheweb.com/brokers/acorn-statistics</t>
  </si>
  <si>
    <t>Monthly contribution</t>
  </si>
  <si>
    <t>~$50/mo
(seg 2)</t>
  </si>
  <si>
    <t>Acorns reports most customers investing roughly $50-60/month into core accounts. Modelled here as a % of wallet balance so it scales with segment wealth.</t>
  </si>
  <si>
    <t>Contribution % of balance</t>
  </si>
  <si>
    <t>1.0 - 3.5%/mo</t>
  </si>
  <si>
    <t>US personal saving rate was 2.7-3.0% of income in mid-2026. Top-quintile earners save 15-25%; bottom-quintile saving is negative. Segment rates are scaled to that spread and calibrated so segment 2 lands at the Acorns $50/mo observation.</t>
  </si>
  <si>
    <t>tradingeconomics.com US personal saving rate; Federal Reserve SCF via Bankrate</t>
  </si>
  <si>
    <t>Expected investment return</t>
  </si>
  <si>
    <t>5.5%/yr</t>
  </si>
  <si>
    <t>Vanguard's Dec-2025 10-year US equity forecast is 3.9-5.9%; BlackRock's was just over 5% in Sep-2025. Both are well below the historical ~10% and reflect current valuations. 5.5% is the upper-middle of that consensus.</t>
  </si>
  <si>
    <t>corporate.vanguard.com VEMO 2026; Morningstar 2026 expert forecast survey</t>
  </si>
  <si>
    <t>Affluent-investor ceiling
(reference)</t>
  </si>
  <si>
    <t>$65-68K</t>
  </si>
  <si>
    <t>Betterment ~$65bn across 1m+ clients; Wealthfront $95bn across 1.4m+. This is the primary-brokerage tier, roughly 30x the Acorns balance — the gap that decides whether AUM can overtake NIM.</t>
  </si>
  <si>
    <t>sacra.com robo-advisor research; investingintheweb Betterment statistics</t>
  </si>
  <si>
    <t>Product is real</t>
  </si>
  <si>
    <t>Live Aug 2026</t>
  </si>
  <si>
    <t>Dinari launched 724 tokenized US stocks including the full S&amp;P 500 for US self-custody wallets, settled in USDC across 4 chains, each dShare backed 1:1 in regulated custody. The Vaulta Invest premise is available today, not speculative.</t>
  </si>
  <si>
    <t>coindesk.com 2026-08-04; theblock.co/post/410588</t>
  </si>
  <si>
    <t>Market backdrop</t>
  </si>
  <si>
    <t>$5.5T by 2030</t>
  </si>
  <si>
    <t>Citigroup projects the tokenized securities market reaches $5.5tn by 2030. Ondo has an SEC-aligned framework using iShares Core S&amp;P 500 as collateral, not yet open to US retail.</t>
  </si>
  <si>
    <t>coindesk.com tokenized equities coverage 2026</t>
  </si>
  <si>
    <t>Micro-investing growth</t>
  </si>
  <si>
    <t>+27% YoY</t>
  </si>
  <si>
    <t>Investment fintech apps grew users 27% year over year, led by micro-investing and fractional-share platforms. Micro-investing platform revenue $0.93bn in 2025 -&gt; $1.85bn by 2029.</t>
  </si>
  <si>
    <t>globenewswire.com Micro Investing Platforms Market Report 2025-2029</t>
  </si>
  <si>
    <t>Redemption / leakage</t>
  </si>
  <si>
    <t>8%/yr</t>
  </si>
  <si>
    <t>No clean public disclosure for micro-investing redemption rates. 8% is a modelling judgement, not a researched figure — it is an input and is flagged as the weakest default in the workbook.</t>
  </si>
  <si>
    <t>MODELLING JUDGEMENT — not sourced</t>
  </si>
  <si>
    <t xml:space="preserve">  VAULTA AUM MODEL — ASSUMPTIONS</t>
  </si>
  <si>
    <t xml:space="preserve">  BLUE = input.  BLACK = formula.  Defaults are researched; see the Research &amp; Sources sheet for the basis of each.</t>
  </si>
  <si>
    <t xml:space="preserve">  1.  T-BILL SLEEVE  (the revenue AUM is being compared against)</t>
  </si>
  <si>
    <t>T-bill annual rate</t>
  </si>
  <si>
    <t>Vaulta sleeve % (kept as NIM)</t>
  </si>
  <si>
    <t>20/80 split — Vaulta keeps 20%</t>
  </si>
  <si>
    <t>Consumer reward % (passed through)</t>
  </si>
  <si>
    <t>Consumer effective reward rate</t>
  </si>
  <si>
    <t>vs Chime 3.75% APY (needs $3k DD)</t>
  </si>
  <si>
    <t>Vaulta NIM rate on balances</t>
  </si>
  <si>
    <t xml:space="preserve">  2.  VAULTA INVEST  —  AUM ENGINE</t>
  </si>
  <si>
    <t>AUM fee (annual)</t>
  </si>
  <si>
    <t>Expected investment return (annual)</t>
  </si>
  <si>
    <t>Vanguard 3.9-5.9%, BlackRock ~5%</t>
  </si>
  <si>
    <t>Annual redemption / leakage rate</t>
  </si>
  <si>
    <t>modelling judgement — weakest default</t>
  </si>
  <si>
    <t>Y1</t>
  </si>
  <si>
    <t>Y2</t>
  </si>
  <si>
    <t>Y3</t>
  </si>
  <si>
    <t>Y4</t>
  </si>
  <si>
    <t>Y5</t>
  </si>
  <si>
    <t>Product availability ramp</t>
  </si>
  <si>
    <t>scales each segment's ceiling</t>
  </si>
  <si>
    <t xml:space="preserve">  One adoption mechanism only: effective adoption = segment ceiling x availability ramp. Avoids the two-schedule conflict in the Pay-Model.</t>
  </si>
  <si>
    <t xml:space="preserve">  3.  SEGMENT LEVERS</t>
  </si>
  <si>
    <t>Segment</t>
  </si>
  <si>
    <t>CAC</t>
  </si>
  <si>
    <t>Wallet balance</t>
  </si>
  <si>
    <t>Monthly churn</t>
  </si>
  <si>
    <t>AUM adoption ceiling</t>
  </si>
  <si>
    <t>Monthly contribution
(% of balance)</t>
  </si>
  <si>
    <t>Initial rollover at signup
(x wallet balance)</t>
  </si>
  <si>
    <t>1 — Underbanked Active</t>
  </si>
  <si>
    <t>2 — Dissatisfied Banked</t>
  </si>
  <si>
    <t>3 — Primary Bank Switcher</t>
  </si>
  <si>
    <t>4 — Crypto-Curious Investor</t>
  </si>
  <si>
    <t>memo: implied monthly contribution ($)</t>
  </si>
  <si>
    <t xml:space="preserve">   1 — Underbanked Active</t>
  </si>
  <si>
    <t xml:space="preserve">   2 — Dissatisfied Banked</t>
  </si>
  <si>
    <t xml:space="preserve">   3 — Primary Bank Switcher</t>
  </si>
  <si>
    <t xml:space="preserve">   4 — Crypto-Curious Investor</t>
  </si>
  <si>
    <t xml:space="preserve">  Segment 2 lands near the ~$50/month Acorns observation. Initial rollover is the lump sum a new investor transfers in at signup, as a multiple of wallet balance.</t>
  </si>
  <si>
    <t xml:space="preserve">  4.  SEGMENT MIX BY YEAR</t>
  </si>
  <si>
    <t>Total</t>
  </si>
  <si>
    <t xml:space="preserve">  5.  CONSUMER GROWTH</t>
  </si>
  <si>
    <t>Starting active consumers (Q0)</t>
  </si>
  <si>
    <t>Year-end active consumers</t>
  </si>
  <si>
    <t xml:space="preserve">  6.  TRANSACTION FEES &amp; COSTS  (context for unit economics)</t>
  </si>
  <si>
    <t>Monthly spend as % of balance</t>
  </si>
  <si>
    <t>Share of spend on QR / Solana Pay</t>
  </si>
  <si>
    <t>Share of spend on Rain card</t>
  </si>
  <si>
    <t>QR merchant fee</t>
  </si>
  <si>
    <t>Rain net interchange</t>
  </si>
  <si>
    <t>Rain per-transaction cost</t>
  </si>
  <si>
    <t>Average transaction size</t>
  </si>
  <si>
    <t>Infra per consumer / month</t>
  </si>
  <si>
    <t xml:space="preserve">  7.  LTV DISCOUNTING</t>
  </si>
  <si>
    <t>WACC</t>
  </si>
  <si>
    <t>Monthly discount rate</t>
  </si>
  <si>
    <t>LTV horizon (months)</t>
  </si>
  <si>
    <t xml:space="preserve">  CONSUMER MODEL  —  quarterly ramp by segment</t>
  </si>
  <si>
    <t>Quarter</t>
  </si>
  <si>
    <t>Year</t>
  </si>
  <si>
    <t>Period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</si>
  <si>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</si>
  <si>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</si>
  <si>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</si>
  <si>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</si>
  <si>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</si>
  <si>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</si>
  <si>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</si>
  <si>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</si>
  <si>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</si>
  <si>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</si>
  <si>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</si>
  <si>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</si>
  <si>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</si>
  <si>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</si>
  <si>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</si>
  <si>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</si>
  <si>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</si>
  <si>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</si>
  <si>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</si>
  <si>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</si>
  <si>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 xml:space="preserve">  ACTIVE CONSUMERS</t>
  </si>
  <si>
    <t xml:space="preserve">   Year-end target</t>
  </si>
  <si>
    <t xml:space="preserve">   Prior year-end base</t>
  </si>
  <si>
    <t>Active consumers (end of period)</t>
  </si>
  <si>
    <t xml:space="preserve">   Active consumers (beginning)</t>
  </si>
  <si>
    <t>Active consumers (average)</t>
  </si>
  <si>
    <t>Blended monthly churn</t>
  </si>
  <si>
    <t xml:space="preserve">   Quarterly churn rate</t>
  </si>
  <si>
    <t>Blended wallet balance</t>
  </si>
  <si>
    <t>TOTAL WALLET BALANCES (avg)</t>
  </si>
  <si>
    <t>TOTAL WALLET BALANCES (end of period)</t>
  </si>
  <si>
    <t xml:space="preserve">   Revenue uses the AVERAGE balance (income accrues over the quarter). The crossover ratio uses the END-OF-PERIOD balance, because it compares two stocks.</t>
  </si>
  <si>
    <t xml:space="preserve">  ACTIVE CONSUMERS BY SEGMENT (end of period)</t>
  </si>
  <si>
    <t xml:space="preserve">  ACTIVE CONSUMERS BY SEGMENT (average)</t>
  </si>
  <si>
    <t xml:space="preserve">  AUM ENGINE  —  quarterly roll-forward by segment</t>
  </si>
  <si>
    <t xml:space="preserve">  Closing AUM = opening + initial rollovers + contributions - redemptions - churn leakage + market return.  Fee is charged on average AUM.</t>
  </si>
  <si>
    <t xml:space="preserve">  SEGMENT 1 — Underbanked Active</t>
  </si>
  <si>
    <t xml:space="preserve">   Invest users (end of period)</t>
  </si>
  <si>
    <t xml:space="preserve">   New invest users</t>
  </si>
  <si>
    <t xml:space="preserve">   Opening AUM</t>
  </si>
  <si>
    <t xml:space="preserve">   + Initial rollovers</t>
  </si>
  <si>
    <t xml:space="preserve">   + Contributions</t>
  </si>
  <si>
    <t xml:space="preserve">   - Redemptions</t>
  </si>
  <si>
    <t xml:space="preserve">   - Churn leakage</t>
  </si>
  <si>
    <t xml:space="preserve">   + Market return</t>
  </si>
  <si>
    <t>CLOSING AUM</t>
  </si>
  <si>
    <t xml:space="preserve">   Average AUM</t>
  </si>
  <si>
    <t xml:space="preserve">   AUM per invest user</t>
  </si>
  <si>
    <t xml:space="preserve">  SEGMENT 2 — Dissatisfied Banked</t>
  </si>
  <si>
    <t xml:space="preserve">  SEGMENT 3 — Primary Bank Switcher</t>
  </si>
  <si>
    <t xml:space="preserve">  SEGMENT 4 — Crypto-Curious Investor</t>
  </si>
  <si>
    <t xml:space="preserve">  TOTAL — ALL SEGMENTS</t>
  </si>
  <si>
    <t>Total invest users</t>
  </si>
  <si>
    <t xml:space="preserve">   Initial rollovers</t>
  </si>
  <si>
    <t xml:space="preserve">   Contributions</t>
  </si>
  <si>
    <t xml:space="preserve">   Redemptions</t>
  </si>
  <si>
    <t xml:space="preserve">   Churn leakage</t>
  </si>
  <si>
    <t xml:space="preserve">   Market return</t>
  </si>
  <si>
    <t>TOTAL CLOSING AUM</t>
  </si>
  <si>
    <t>Total average AUM</t>
  </si>
  <si>
    <t>AUM per invest user</t>
  </si>
  <si>
    <t>Effective adoption (% of actives)</t>
  </si>
  <si>
    <t xml:space="preserve">  AUM FEE REVENUE</t>
  </si>
  <si>
    <t>AUM fee revenue (quarter)</t>
  </si>
  <si>
    <t>AUM fee (annual run-rate)</t>
  </si>
  <si>
    <t xml:space="preserve">  REVENUE COMPARISON  —  does AUM overtake the T-bill sleeve?</t>
  </si>
  <si>
    <t xml:space="preserve">  Compared on what Vaulta KEEPS. T-bill contributes only the 20% sleeve; the 80% consumer reward is passed through and is not Vaulta revenue.</t>
  </si>
  <si>
    <t xml:space="preserve">  VAULTA RETAINED REVENUE BY LINE</t>
  </si>
  <si>
    <t xml:space="preserve">   Total wallet balances (avg)</t>
  </si>
  <si>
    <t xml:space="preserve">   T-bill gross income</t>
  </si>
  <si>
    <t xml:space="preserve">      less consumer reward (80%)</t>
  </si>
  <si>
    <t>T-BILL NIM (Vaulta keeps)</t>
  </si>
  <si>
    <t xml:space="preserve">      memo: consumer spend</t>
  </si>
  <si>
    <t xml:space="preserve">   QR merchant fees</t>
  </si>
  <si>
    <t xml:space="preserve">   Rain interchange (net of txn cost)</t>
  </si>
  <si>
    <t>Transaction fees (QR + card net)</t>
  </si>
  <si>
    <t>AUM FEE</t>
  </si>
  <si>
    <t>TOTAL VAULTA REVENUE (retained)</t>
  </si>
  <si>
    <t xml:space="preserve">  MIX</t>
  </si>
  <si>
    <t xml:space="preserve">   T-bill NIM %</t>
  </si>
  <si>
    <t xml:space="preserve">   Transaction fees %</t>
  </si>
  <si>
    <t>AUM fee %</t>
  </si>
  <si>
    <t xml:space="preserve">  THE TEST  —  AUM vs NIM</t>
  </si>
  <si>
    <t>AUM fee / T-bill NIM</t>
  </si>
  <si>
    <t xml:space="preserve">   AUM overtakes NIM?</t>
  </si>
  <si>
    <t xml:space="preserve">  ANNUAL SUMMARY</t>
  </si>
  <si>
    <t>Annual</t>
  </si>
  <si>
    <t>T-bill NIM (Vaulta keeps)</t>
  </si>
  <si>
    <t>AUM overtakes NIM?</t>
  </si>
  <si>
    <t>memo: closing AUM (year end)</t>
  </si>
  <si>
    <t>memo: total wallet balances (year end)</t>
  </si>
  <si>
    <t xml:space="preserve">  CROSSOVER ANALYSIS  —  what would it take for AUM to overtake the T-bill sleeve?</t>
  </si>
  <si>
    <t xml:space="preserve">  AUM fee revenue = AUM x fee.  NIM revenue = balances x T-bill rate x sleeve.  Setting them equal gives a single required ratio of AUM to wallet balances.</t>
  </si>
  <si>
    <t xml:space="preserve">  THE ALGEBRA</t>
  </si>
  <si>
    <t>T-bill rate x sleeve % (NIM rate on balances)</t>
  </si>
  <si>
    <t>AUM fee rate</t>
  </si>
  <si>
    <t>REQUIRED AUM as multiple of wallet balances</t>
  </si>
  <si>
    <t>total AUM must exceed this x total balances</t>
  </si>
  <si>
    <t xml:space="preserve">  WHERE THE MODEL ACTUALLY LANDS</t>
  </si>
  <si>
    <t>Total AUM (year end)</t>
  </si>
  <si>
    <t>Total wallet balances (year end)</t>
  </si>
  <si>
    <t>Actual AUM / balances</t>
  </si>
  <si>
    <t>Required ratio (constant)</t>
  </si>
  <si>
    <t>Shortfall (x)</t>
  </si>
  <si>
    <t xml:space="preserve">  WHAT WOULD CLOSE THE GAP</t>
  </si>
  <si>
    <t>Year 5 invest users</t>
  </si>
  <si>
    <t>Year 5 AUM per invest user (model)</t>
  </si>
  <si>
    <t>Year 5 AUM per invest user REQUIRED</t>
  </si>
  <si>
    <t>Multiple of modelled balance needed</t>
  </si>
  <si>
    <t xml:space="preserve">   for reference: Acorns avg balance</t>
  </si>
  <si>
    <t>mass-market micro-investing</t>
  </si>
  <si>
    <t xml:space="preserve">   for reference: Betterment / Wealthfront avg</t>
  </si>
  <si>
    <t>primary-brokerage tier</t>
  </si>
  <si>
    <t xml:space="preserve">  SENSITIVITY — REQUIRED AUM/BALANCE RATIO BY SLEEVE AND FEE</t>
  </si>
  <si>
    <t>AUM fee  \  Vaulta sleeve %</t>
  </si>
  <si>
    <t>10%</t>
  </si>
  <si>
    <t>20%</t>
  </si>
  <si>
    <t>35%</t>
  </si>
  <si>
    <t>50%</t>
  </si>
  <si>
    <t>58%</t>
  </si>
  <si>
    <t>0.25%</t>
  </si>
  <si>
    <t>0.50%</t>
  </si>
  <si>
    <t>0.75%</t>
  </si>
  <si>
    <t>1.00%</t>
  </si>
  <si>
    <t xml:space="preserve">  Lower sleeve makes the crossover EASIER: at a 20% sleeve, AUM must reach 1.92x wallet balances; at 58% it must reach 5.57x.</t>
  </si>
  <si>
    <t xml:space="preserve">  Highlighted cell is the current setting (0.50% fee, 20% sleeve).</t>
  </si>
  <si>
    <t xml:space="preserve">  READ-THROUGH</t>
  </si>
  <si>
    <t>• The crossover does not depend on user counts. It is a pure ratio: AUM must exceed (T-bill rate x sleeve) / AUM fee times wallet balances.</t>
  </si>
  <si>
    <t>• At the researched contribution rates (1.0-3.5% of balance per month) the model cannot reach that ratio inside five years. Contributions alone move AUM/balances by roughly adoption x contribution rate x months.</t>
  </si>
  <si>
    <t>• The lever that actually moves it is the initial rollover — money transferred in from an existing bank or brokerage at signup — not the monthly drip.</t>
  </si>
  <si>
    <t>• Raising the AUM fee is the other lever, and it is cheap: at 0.50% Vaulta undercuts Acorns' effective rate on a typical balance by roughly 3x, so there is headroom.</t>
  </si>
  <si>
    <t xml:space="preserve">  SEGMENT UNIT ECONOMICS  —  at the 20/80 sleeve, with AUM</t>
  </si>
  <si>
    <t xml:space="preserve">  Steady-state view: each segment's AUM per investor is taken from the Year 5 engine output, so the AUM fee reflects accumulated balances rather than a guess.</t>
  </si>
  <si>
    <t>Blended Y1</t>
  </si>
  <si>
    <t>Blended Y3</t>
  </si>
  <si>
    <t>AUM per investor (Yr 5, from engine)</t>
  </si>
  <si>
    <t xml:space="preserve">  MONTHLY REVENUE PER CONSUMER</t>
  </si>
  <si>
    <t xml:space="preserve">   memo: monthly spend</t>
  </si>
  <si>
    <t>Rain interchange (net of txn cost)</t>
  </si>
  <si>
    <t>Infra</t>
  </si>
  <si>
    <t>NET CONTRIBUTION / month</t>
  </si>
  <si>
    <t xml:space="preserve">  LIFETIME VALUE</t>
  </si>
  <si>
    <t xml:space="preserve">   memo: decay factor</t>
  </si>
  <si>
    <t>Discounted LTV</t>
  </si>
  <si>
    <t>LTV : CAC</t>
  </si>
  <si>
    <t>CAC payback (months)</t>
  </si>
  <si>
    <t xml:space="preserve">  SLEEVE SENSITIVITY — BLENDED Y3 LTV:CAC</t>
  </si>
  <si>
    <t>Vaulta sleeve %</t>
  </si>
  <si>
    <t>Blended Y3 net contribution / month</t>
  </si>
  <si>
    <t xml:space="preserve">  The sleeve is the single biggest driver of consumer unit economics. Moving from 58% to 20% hands the consumer a 3.84% effective reward rate but cuts Vaulta's per-consumer NIM by about two thirds.</t>
  </si>
  <si>
    <t xml:space="preserve">  SENSITIVITY  —  Year 5 AUM fee revenue</t>
  </si>
  <si>
    <t xml:space="preserve">  Both grids recompute from the Assumptions sheet. They vary one driver at a time around the researched defaults.</t>
  </si>
  <si>
    <t xml:space="preserve">  YEAR 5 AUM / WALLET-BALANCE RATIO  vs  rollover multiple and contribution rate</t>
  </si>
  <si>
    <t xml:space="preserve">  Approximation: adoption x (rollover + contribution rate x months invested). Months invested is weighted by the availability ramp.</t>
  </si>
  <si>
    <t>contribution %/mo  \  rollover x</t>
  </si>
  <si>
    <t>0.0x</t>
  </si>
  <si>
    <t>0.5x</t>
  </si>
  <si>
    <t>1.0x</t>
  </si>
  <si>
    <t>2.0x</t>
  </si>
  <si>
    <t>4.0x</t>
  </si>
  <si>
    <t>8.0x</t>
  </si>
  <si>
    <t>1%</t>
  </si>
  <si>
    <t>2%</t>
  </si>
  <si>
    <t>3%</t>
  </si>
  <si>
    <t>5%</t>
  </si>
  <si>
    <t>8%</t>
  </si>
  <si>
    <t>Required ratio to overtake NIM</t>
  </si>
  <si>
    <t xml:space="preserve">  Cells at or above the required ratio are combinations where AUM fee revenue exceeds T-bill NIM in Year 5.</t>
  </si>
  <si>
    <t xml:space="preserve">  YEAR 5 AUM FEE REVENUE  vs  AUM fee rate</t>
  </si>
  <si>
    <t>1.50%</t>
  </si>
  <si>
    <t>Year 5 AUM fee revenue</t>
  </si>
  <si>
    <t>vs Year 5 T-bill NIM</t>
  </si>
  <si>
    <t>AUM / NIM</t>
  </si>
  <si>
    <t xml:space="preserve">  Acorns' flat $3/month is roughly 1.7% of its average balance, so even 1.50% here would undercut the closest mass-market comparable.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</si>
</sst>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"/>
    <numFmt numFmtId="166" formatCode="\$#,##0"/>
    <numFmt numFmtId="167" formatCode="0.00&quot;x&quot;"/>
    <numFmt numFmtId="168" formatCode="0.000%"/>
    <numFmt numFmtId="169" formatCode="0.0000"/>
    <numFmt numFmtId="170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8"/>
      <color rgb="FF808080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FF"/>
      <name val="Calibri"/>
    </font>
    <font>
      <sz val="9"/>
      <name val="Calibri"/>
    </font>
    <font>
      <sz val="8"/>
      <color rgb="FF2E75B6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9"/>
      <color rgb="FF404040"/>
      <name val="Calibri"/>
    </font>
    <font>
      <i/>
      <sz val="10"/>
      <color rgb="FFFFFFFF"/>
      <name val="Calibri"/>
    </font>
    <font>
      <b/>
      <sz val="9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DE9E9"/>
      </patternFill>
    </fill>
    <fill>
      <patternFill patternType="solid">
        <fgColor rgb="FF2E75B6"/>
      </patternFill>
    </fill>
    <fill>
      <patternFill patternType="solid">
        <fgColor rgb="FFFFF8E7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4E79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0" fillId="2" borderId="0" xfId="0" applyFill="1"/>
    <xf numFmtId="0" fontId="11" fillId="2" borderId="0" xfId="0" applyFont="1" applyFill="1"/>
    <xf numFmtId="0" fontId="8" fillId="4" borderId="0" xfId="0" applyFont="1" applyFill="1"/>
    <xf numFmtId="0" fontId="0" fillId="4" borderId="0" xfId="0" applyFill="1"/>
    <xf numFmtId="0" fontId="2" fillId="0" borderId="0" xfId="0" applyFont="1"/>
    <xf numFmtId="0" fontId="4" fillId="0" borderId="0" xfId="0" applyFont="1"/>
    <xf numFmtId="167" fontId="4" fillId="6" borderId="0" xfId="0" applyNumberFormat="1" applyFont="1" applyFill="1"/>
    <xf numFmtId="0" fontId="9" fillId="0" borderId="0" xfId="0" applyFont="1"/>
    <xf numFmtId="167" fontId="4" fillId="0" borderId="0" xfId="0" applyNumberFormat="1" applyFont="1"/>
    <xf numFmtId="167" fontId="4" fillId="3" borderId="0" xfId="0" applyNumberFormat="1" applyFont="1" applyFill="1"/>
    <xf numFmtId="0" fontId="4" fillId="3" borderId="0" xfId="0" applyFont="1" applyFill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6" fontId="4" fillId="0" borderId="0" xfId="0" applyNumberFormat="1" applyFont="1"/>
    <xf numFmtId="166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7" fontId="9" fillId="0" borderId="0" xfId="0" applyNumberFormat="1" applyFont="1"/>
    <xf numFmtId="0" fontId="1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0" fontId="5" fillId="5" borderId="1" xfId="0" applyNumberFormat="1" applyFont="1" applyFill="1" applyBorder="1"/>
    <xf numFmtId="164" fontId="5" fillId="5" borderId="1" xfId="0" applyNumberFormat="1" applyFont="1" applyFill="1" applyBorder="1"/>
    <xf numFmtId="10" fontId="9" fillId="0" borderId="0" xfId="0" applyNumberFormat="1" applyFont="1"/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167" fontId="5" fillId="5" borderId="1" xfId="0" applyNumberFormat="1" applyFont="1" applyFill="1" applyBorder="1"/>
    <xf numFmtId="164" fontId="4" fillId="0" borderId="0" xfId="0" applyNumberFormat="1" applyFont="1"/>
    <xf numFmtId="3" fontId="5" fillId="5" borderId="1" xfId="0" applyNumberFormat="1" applyFont="1" applyFill="1" applyBorder="1"/>
    <xf numFmtId="168" fontId="9" fillId="0" borderId="0" xfId="0" applyNumberFormat="1" applyFont="1"/>
    <xf numFmtId="0" fontId="3" fillId="2" borderId="1" xfId="0" applyFont="1" applyFill="1" applyBorder="1" applyAlignment="1">
      <alignment horizontal="center"/>
    </xf>
    <xf numFmtId="3" fontId="9" fillId="0" borderId="0" xfId="0" applyNumberFormat="1" applyFont="1"/>
    <xf numFmtId="0" fontId="2" fillId="0" borderId="0" xfId="0" applyFont="1" applyAlignment="1">
      <alignment horizontal="center"/>
    </xf>
    <xf numFmtId="3" fontId="4" fillId="6" borderId="0" xfId="0" applyNumberFormat="1" applyFont="1" applyFill="1"/>
    <xf numFmtId="166" fontId="4" fillId="6" borderId="0" xfId="0" applyNumberFormat="1" applyFont="1" applyFill="1"/>
    <xf numFmtId="3" fontId="4" fillId="0" borderId="0" xfId="0" applyNumberFormat="1" applyFont="1"/>
    <xf numFmtId="166" fontId="4" fillId="6" borderId="2" xfId="0" applyNumberFormat="1" applyFont="1" applyFill="1" applyBorder="1"/>
    <xf numFmtId="0" fontId="5" fillId="0" borderId="0" xfId="0" applyFont="1"/>
    <xf numFmtId="165" fontId="4" fillId="6" borderId="2" xfId="0" applyNumberFormat="1" applyFont="1" applyFill="1" applyBorder="1"/>
    <xf numFmtId="165" fontId="9" fillId="6" borderId="0" xfId="0" applyNumberFormat="1" applyFont="1" applyFill="1"/>
    <xf numFmtId="169" fontId="9" fillId="0" borderId="0" xfId="0" applyNumberFormat="1" applyFont="1"/>
    <xf numFmtId="166" fontId="9" fillId="6" borderId="0" xfId="0" applyNumberFormat="1" applyFont="1" applyFill="1"/>
    <xf numFmtId="170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tabSelected="1" workbookViewId="0"/>
  </sheetViews>
  <sheetFormatPr defaultRowHeight="14.5" x14ac:dyDescent="0.35"/>
  <cols>
    <col min="1" max="1" width="3" customWidth="1"/>
    <col min="2" max="2" width="52" customWidth="1"/>
    <col min="3" max="7" width="18" customWidth="1"/>
  </cols>
  <sheetData>
    <row r="1" spans="1:7" ht="22" customHeight="1" x14ac:dyDescent="0.4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4" spans="1:7" ht="16" customHeight="1" x14ac:dyDescent="0.35">
      <c r="A4" s="4" t="s">
        <v>2</v>
      </c>
      <c r="B4" s="5"/>
      <c r="C4" s="5"/>
      <c r="D4" s="5"/>
      <c r="E4" s="5"/>
      <c r="F4" s="5"/>
      <c r="G4" s="5"/>
    </row>
    <row r="5" spans="1:7" x14ac:dyDescent="0.35">
      <c r="A5" s="6" t="s">
        <v>3</v>
      </c>
    </row>
    <row r="6" spans="1:7" x14ac:dyDescent="0.35">
      <c r="A6" s="6" t="s">
        <v>4</v>
      </c>
    </row>
    <row r="8" spans="1:7" ht="16" customHeight="1" x14ac:dyDescent="0.35">
      <c r="A8" s="4" t="s">
        <v>5</v>
      </c>
      <c r="B8" s="5"/>
      <c r="C8" s="5"/>
      <c r="D8" s="5"/>
      <c r="E8" s="5"/>
      <c r="F8" s="5"/>
      <c r="G8" s="5"/>
    </row>
    <row r="9" spans="1:7" x14ac:dyDescent="0.35">
      <c r="B9" s="7" t="s">
        <v>6</v>
      </c>
      <c r="C9" s="8">
        <f>'Crossover Analysis'!$C$7</f>
        <v>1.9200000000000002</v>
      </c>
    </row>
    <row r="10" spans="1:7" x14ac:dyDescent="0.35">
      <c r="B10" s="9" t="s">
        <v>7</v>
      </c>
      <c r="C10" s="10">
        <f>'Crossover Analysis'!$G$13</f>
        <v>0.39943431599793822</v>
      </c>
    </row>
    <row r="11" spans="1:7" x14ac:dyDescent="0.35">
      <c r="B11" s="7" t="s">
        <v>8</v>
      </c>
      <c r="C11" s="11">
        <f>'Crossover Analysis'!$G$15</f>
        <v>4.8067978215720224</v>
      </c>
    </row>
    <row r="12" spans="1:7" x14ac:dyDescent="0.35">
      <c r="B12" s="7" t="s">
        <v>9</v>
      </c>
      <c r="C12" s="12" t="str">
        <f>'Revenue Comparison'!$G$38</f>
        <v>no</v>
      </c>
    </row>
    <row r="14" spans="1:7" ht="16" customHeight="1" x14ac:dyDescent="0.35">
      <c r="A14" s="4" t="s">
        <v>10</v>
      </c>
      <c r="B14" s="5"/>
      <c r="C14" s="5"/>
      <c r="D14" s="5"/>
      <c r="E14" s="5"/>
      <c r="F14" s="5"/>
      <c r="G14" s="5"/>
    </row>
    <row r="15" spans="1:7" x14ac:dyDescent="0.35">
      <c r="B15" s="13" t="s">
        <v>11</v>
      </c>
      <c r="C15" s="14" t="s">
        <v>12</v>
      </c>
      <c r="D15" s="14" t="s">
        <v>13</v>
      </c>
      <c r="E15" s="14" t="s">
        <v>14</v>
      </c>
      <c r="F15" s="14" t="s">
        <v>15</v>
      </c>
      <c r="G15" s="14" t="s">
        <v>16</v>
      </c>
    </row>
    <row r="16" spans="1:7" x14ac:dyDescent="0.35">
      <c r="B16" s="7" t="s">
        <v>17</v>
      </c>
      <c r="C16" s="15">
        <f>'Revenue Comparison'!$C$32</f>
        <v>72866.169381094573</v>
      </c>
      <c r="D16" s="15">
        <f>'Revenue Comparison'!$D$32</f>
        <v>412112.35482221236</v>
      </c>
      <c r="E16" s="15">
        <f>'Revenue Comparison'!$E$32</f>
        <v>1421256.2281373714</v>
      </c>
      <c r="F16" s="15">
        <f>'Revenue Comparison'!$F$32</f>
        <v>3752693.0260093198</v>
      </c>
      <c r="G16" s="15">
        <f>'Revenue Comparison'!$G$32</f>
        <v>8252607.0689954516</v>
      </c>
    </row>
    <row r="17" spans="1:7" x14ac:dyDescent="0.35">
      <c r="B17" s="9" t="s">
        <v>18</v>
      </c>
      <c r="C17" s="16">
        <f>'Revenue Comparison'!$C$33</f>
        <v>38254.738925074656</v>
      </c>
      <c r="D17" s="16">
        <f>'Revenue Comparison'!$D$33</f>
        <v>216358.98628166155</v>
      </c>
      <c r="E17" s="16">
        <f>'Revenue Comparison'!$E$33</f>
        <v>746159.51977212005</v>
      </c>
      <c r="F17" s="16">
        <f>'Revenue Comparison'!$F$33</f>
        <v>1970163.838654893</v>
      </c>
      <c r="G17" s="16">
        <f>'Revenue Comparison'!$G$33</f>
        <v>4332618.7112226114</v>
      </c>
    </row>
    <row r="18" spans="1:7" x14ac:dyDescent="0.35">
      <c r="B18" s="7" t="s">
        <v>19</v>
      </c>
      <c r="C18" s="15">
        <f>'Revenue Comparison'!$C$34</f>
        <v>0</v>
      </c>
      <c r="D18" s="15">
        <f>'Revenue Comparison'!$D$34</f>
        <v>41461.027421392428</v>
      </c>
      <c r="E18" s="15">
        <f>'Revenue Comparison'!$E$34</f>
        <v>198105.00619475186</v>
      </c>
      <c r="F18" s="15">
        <f>'Revenue Comparison'!$F$34</f>
        <v>682297.65910631756</v>
      </c>
      <c r="G18" s="15">
        <f>'Revenue Comparison'!$G$34</f>
        <v>1695038.8359259348</v>
      </c>
    </row>
    <row r="19" spans="1:7" x14ac:dyDescent="0.35">
      <c r="B19" s="7" t="s">
        <v>20</v>
      </c>
      <c r="C19" s="15">
        <f>'Revenue Comparison'!$C$35</f>
        <v>111120.90830616922</v>
      </c>
      <c r="D19" s="15">
        <f>'Revenue Comparison'!$D$35</f>
        <v>669932.3685252663</v>
      </c>
      <c r="E19" s="15">
        <f>'Revenue Comparison'!$E$35</f>
        <v>2365520.7541042431</v>
      </c>
      <c r="F19" s="15">
        <f>'Revenue Comparison'!$F$35</f>
        <v>6405154.5237705298</v>
      </c>
      <c r="G19" s="15">
        <f>'Revenue Comparison'!$G$35</f>
        <v>14280264.616143998</v>
      </c>
    </row>
    <row r="20" spans="1:7" x14ac:dyDescent="0.35">
      <c r="B20" s="9" t="s">
        <v>21</v>
      </c>
      <c r="C20" s="17">
        <f>'Revenue Comparison'!$C$36</f>
        <v>0</v>
      </c>
      <c r="D20" s="17">
        <f>'Revenue Comparison'!$D$36</f>
        <v>6.1888377647226246E-2</v>
      </c>
      <c r="E20" s="17">
        <f>'Revenue Comparison'!$E$36</f>
        <v>8.3746889918862158E-2</v>
      </c>
      <c r="F20" s="17">
        <f>'Revenue Comparison'!$F$36</f>
        <v>0.10652321604017581</v>
      </c>
      <c r="G20" s="17">
        <f>'Revenue Comparison'!$G$36</f>
        <v>0.1186979990559611</v>
      </c>
    </row>
    <row r="21" spans="1:7" x14ac:dyDescent="0.35">
      <c r="B21" s="7" t="s">
        <v>22</v>
      </c>
      <c r="C21" s="8">
        <f>'Revenue Comparison'!$C$37</f>
        <v>0</v>
      </c>
      <c r="D21" s="8">
        <f>'Revenue Comparison'!$D$37</f>
        <v>0.10060612582041845</v>
      </c>
      <c r="E21" s="8">
        <f>'Revenue Comparison'!$E$37</f>
        <v>0.13938725633897736</v>
      </c>
      <c r="F21" s="8">
        <f>'Revenue Comparison'!$F$37</f>
        <v>0.18181547341533688</v>
      </c>
      <c r="G21" s="8">
        <f>'Revenue Comparison'!$G$37</f>
        <v>0.20539434650828026</v>
      </c>
    </row>
    <row r="22" spans="1:7" x14ac:dyDescent="0.35">
      <c r="B22" s="9" t="s">
        <v>23</v>
      </c>
      <c r="C22" s="16">
        <f>'Revenue Comparison'!$C$39</f>
        <v>0</v>
      </c>
      <c r="D22" s="16">
        <f>'Revenue Comparison'!$D$39</f>
        <v>15438488.167429715</v>
      </c>
      <c r="E22" s="16">
        <f>'Revenue Comparison'!$E$39</f>
        <v>65492943.749821879</v>
      </c>
      <c r="F22" s="16">
        <f>'Revenue Comparison'!$F$39</f>
        <v>211911139.98029262</v>
      </c>
      <c r="G22" s="16">
        <f>'Revenue Comparison'!$G$39</f>
        <v>474827543.14254904</v>
      </c>
    </row>
    <row r="23" spans="1:7" x14ac:dyDescent="0.35">
      <c r="B23" s="9" t="s">
        <v>24</v>
      </c>
      <c r="C23" s="16">
        <f>'Revenue Comparison'!$C$40</f>
        <v>18900000</v>
      </c>
      <c r="D23" s="16">
        <f>'Revenue Comparison'!$D$40</f>
        <v>74681250</v>
      </c>
      <c r="E23" s="16">
        <f>'Revenue Comparison'!$E$40</f>
        <v>237750000</v>
      </c>
      <c r="F23" s="16">
        <f>'Revenue Comparison'!$F$40</f>
        <v>594375000</v>
      </c>
      <c r="G23" s="16">
        <f>'Revenue Comparison'!$G$40</f>
        <v>1188750000</v>
      </c>
    </row>
    <row r="25" spans="1:7" ht="16" customHeight="1" x14ac:dyDescent="0.35">
      <c r="A25" s="4" t="s">
        <v>25</v>
      </c>
      <c r="B25" s="5"/>
      <c r="C25" s="5"/>
      <c r="D25" s="5"/>
      <c r="E25" s="5"/>
      <c r="F25" s="5"/>
      <c r="G25" s="5"/>
    </row>
    <row r="26" spans="1:7" x14ac:dyDescent="0.35">
      <c r="B26" s="13" t="s">
        <v>11</v>
      </c>
      <c r="C26" s="14" t="s">
        <v>26</v>
      </c>
      <c r="D26" s="14" t="s">
        <v>27</v>
      </c>
    </row>
    <row r="27" spans="1:7" x14ac:dyDescent="0.35">
      <c r="B27" s="9" t="s">
        <v>28</v>
      </c>
      <c r="C27" s="18">
        <f>'Segment Unit Economics'!$H$5</f>
        <v>46</v>
      </c>
      <c r="D27" s="18">
        <f>'Segment Unit Economics'!$I$5</f>
        <v>52.75</v>
      </c>
    </row>
    <row r="28" spans="1:7" x14ac:dyDescent="0.35">
      <c r="B28" s="9" t="s">
        <v>29</v>
      </c>
      <c r="C28" s="18">
        <f>'Segment Unit Economics'!$H$18</f>
        <v>2.2355666746939629</v>
      </c>
      <c r="D28" s="18">
        <f>'Segment Unit Economics'!$I$18</f>
        <v>2.7962396192854575</v>
      </c>
    </row>
    <row r="29" spans="1:7" x14ac:dyDescent="0.35">
      <c r="B29" s="9" t="s">
        <v>30</v>
      </c>
      <c r="C29" s="16">
        <f>'Segment Unit Economics'!$H$22</f>
        <v>60.053552226267556</v>
      </c>
      <c r="D29" s="16">
        <f>'Segment Unit Economics'!$I$22</f>
        <v>77.79562319953925</v>
      </c>
    </row>
    <row r="30" spans="1:7" x14ac:dyDescent="0.35">
      <c r="B30" s="9" t="s">
        <v>31</v>
      </c>
      <c r="C30" s="19">
        <f>'Segment Unit Economics'!$H$23</f>
        <v>1.30551200491886</v>
      </c>
      <c r="D30" s="19">
        <f>'Segment Unit Economics'!$I$23</f>
        <v>1.4747985440670948</v>
      </c>
    </row>
    <row r="31" spans="1:7" x14ac:dyDescent="0.35">
      <c r="B31" s="9" t="s">
        <v>32</v>
      </c>
      <c r="C31" s="17">
        <f>'Segment Unit Economics'!$H$25</f>
        <v>0.19224059812610853</v>
      </c>
      <c r="D31" s="17">
        <f>'Segment Unit Economics'!$I$25</f>
        <v>0.14150776512728577</v>
      </c>
    </row>
    <row r="33" spans="1:7" ht="16" customHeight="1" x14ac:dyDescent="0.35">
      <c r="A33" s="4" t="s">
        <v>33</v>
      </c>
      <c r="B33" s="5"/>
      <c r="C33" s="5"/>
      <c r="D33" s="5"/>
      <c r="E33" s="5"/>
      <c r="F33" s="5"/>
      <c r="G33" s="5"/>
    </row>
    <row r="34" spans="1:7" ht="30" customHeight="1" x14ac:dyDescent="0.35">
      <c r="B34" s="20" t="s">
        <v>34</v>
      </c>
    </row>
    <row r="35" spans="1:7" ht="30" customHeight="1" x14ac:dyDescent="0.35">
      <c r="B35" s="21" t="s">
        <v>35</v>
      </c>
    </row>
    <row r="36" spans="1:7" ht="30" customHeight="1" x14ac:dyDescent="0.35">
      <c r="B36" s="21" t="s">
        <v>36</v>
      </c>
    </row>
    <row r="37" spans="1:7" ht="30" customHeight="1" x14ac:dyDescent="0.35">
      <c r="B37" s="20" t="s">
        <v>37</v>
      </c>
    </row>
    <row r="38" spans="1:7" ht="30" customHeight="1" x14ac:dyDescent="0.35">
      <c r="B38" s="21" t="s">
        <v>38</v>
      </c>
    </row>
    <row r="39" spans="1:7" ht="30" customHeight="1" x14ac:dyDescent="0.35">
      <c r="B39" s="21" t="s">
        <v>39</v>
      </c>
    </row>
    <row r="40" spans="1:7" ht="30" customHeight="1" x14ac:dyDescent="0.35">
      <c r="B40" s="20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/>
  </sheetViews>
  <sheetFormatPr defaultRowHeight="14.5" x14ac:dyDescent="0.35"/>
  <cols>
    <col min="1" max="1" width="3" customWidth="1"/>
    <col min="2" max="2" width="34" customWidth="1"/>
    <col min="3" max="3" width="14" customWidth="1"/>
    <col min="4" max="4" width="52" customWidth="1"/>
    <col min="5" max="5" width="60" customWidth="1"/>
  </cols>
  <sheetData>
    <row r="1" spans="1:5" ht="22" customHeight="1" x14ac:dyDescent="0.45">
      <c r="A1" s="1" t="s">
        <v>41</v>
      </c>
      <c r="B1" s="2"/>
      <c r="C1" s="2"/>
      <c r="D1" s="2"/>
      <c r="E1" s="2"/>
    </row>
    <row r="2" spans="1:5" x14ac:dyDescent="0.35">
      <c r="A2" s="6" t="s">
        <v>42</v>
      </c>
    </row>
    <row r="4" spans="1:5" x14ac:dyDescent="0.35">
      <c r="B4" s="13" t="s">
        <v>43</v>
      </c>
      <c r="C4" s="13" t="s">
        <v>44</v>
      </c>
      <c r="D4" s="13" t="s">
        <v>45</v>
      </c>
      <c r="E4" s="13" t="s">
        <v>46</v>
      </c>
    </row>
    <row r="5" spans="1:5" ht="52" customHeight="1" x14ac:dyDescent="0.35">
      <c r="B5" s="22" t="s">
        <v>19</v>
      </c>
      <c r="C5" s="23" t="s">
        <v>47</v>
      </c>
      <c r="D5" s="24" t="s">
        <v>48</v>
      </c>
      <c r="E5" s="25" t="s">
        <v>49</v>
      </c>
    </row>
    <row r="6" spans="1:5" ht="52" customHeight="1" x14ac:dyDescent="0.35">
      <c r="B6" s="22" t="s">
        <v>50</v>
      </c>
      <c r="C6" s="23" t="s">
        <v>51</v>
      </c>
      <c r="D6" s="24" t="s">
        <v>52</v>
      </c>
      <c r="E6" s="25" t="s">
        <v>53</v>
      </c>
    </row>
    <row r="7" spans="1:5" ht="52" customHeight="1" x14ac:dyDescent="0.35">
      <c r="B7" s="22" t="s">
        <v>54</v>
      </c>
      <c r="C7" s="23" t="s">
        <v>55</v>
      </c>
      <c r="D7" s="24" t="s">
        <v>56</v>
      </c>
      <c r="E7" s="25" t="s">
        <v>53</v>
      </c>
    </row>
    <row r="8" spans="1:5" ht="52" customHeight="1" x14ac:dyDescent="0.35">
      <c r="B8" s="22" t="s">
        <v>57</v>
      </c>
      <c r="C8" s="23" t="s">
        <v>58</v>
      </c>
      <c r="D8" s="24" t="s">
        <v>59</v>
      </c>
      <c r="E8" s="25" t="s">
        <v>60</v>
      </c>
    </row>
    <row r="9" spans="1:5" ht="52" customHeight="1" x14ac:dyDescent="0.35">
      <c r="B9" s="22" t="s">
        <v>61</v>
      </c>
      <c r="C9" s="23" t="s">
        <v>62</v>
      </c>
      <c r="D9" s="24" t="s">
        <v>63</v>
      </c>
      <c r="E9" s="25" t="s">
        <v>64</v>
      </c>
    </row>
    <row r="10" spans="1:5" ht="52" customHeight="1" x14ac:dyDescent="0.35">
      <c r="B10" s="22" t="s">
        <v>65</v>
      </c>
      <c r="C10" s="23" t="s">
        <v>66</v>
      </c>
      <c r="D10" s="24" t="s">
        <v>67</v>
      </c>
      <c r="E10" s="25" t="s">
        <v>68</v>
      </c>
    </row>
    <row r="11" spans="1:5" ht="52" customHeight="1" x14ac:dyDescent="0.35">
      <c r="B11" s="22" t="s">
        <v>69</v>
      </c>
      <c r="C11" s="23" t="s">
        <v>70</v>
      </c>
      <c r="D11" s="24" t="s">
        <v>71</v>
      </c>
      <c r="E11" s="25" t="s">
        <v>72</v>
      </c>
    </row>
    <row r="12" spans="1:5" ht="52" customHeight="1" x14ac:dyDescent="0.35">
      <c r="B12" s="22" t="s">
        <v>73</v>
      </c>
      <c r="C12" s="23" t="s">
        <v>74</v>
      </c>
      <c r="D12" s="24" t="s">
        <v>75</v>
      </c>
      <c r="E12" s="25" t="s">
        <v>76</v>
      </c>
    </row>
    <row r="13" spans="1:5" ht="52" customHeight="1" x14ac:dyDescent="0.35">
      <c r="B13" s="22" t="s">
        <v>77</v>
      </c>
      <c r="C13" s="23" t="s">
        <v>78</v>
      </c>
      <c r="D13" s="24" t="s">
        <v>79</v>
      </c>
      <c r="E13" s="25" t="s">
        <v>80</v>
      </c>
    </row>
    <row r="14" spans="1:5" ht="52" customHeight="1" x14ac:dyDescent="0.35">
      <c r="B14" s="26" t="s">
        <v>81</v>
      </c>
      <c r="C14" s="27" t="s">
        <v>82</v>
      </c>
      <c r="D14" s="28" t="s">
        <v>83</v>
      </c>
      <c r="E14" s="29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showGridLines="0" workbookViewId="0"/>
  </sheetViews>
  <sheetFormatPr defaultRowHeight="14.5" x14ac:dyDescent="0.35"/>
  <cols>
    <col min="1" max="1" width="3" customWidth="1"/>
    <col min="2" max="2" width="44" customWidth="1"/>
    <col min="3" max="7" width="13" customWidth="1"/>
    <col min="8" max="8" width="34" customWidth="1"/>
  </cols>
  <sheetData>
    <row r="1" spans="1:8" ht="22" customHeight="1" x14ac:dyDescent="0.45">
      <c r="A1" s="1" t="s">
        <v>85</v>
      </c>
      <c r="B1" s="2"/>
      <c r="C1" s="2"/>
      <c r="D1" s="2"/>
      <c r="E1" s="2"/>
      <c r="F1" s="2"/>
      <c r="G1" s="2"/>
      <c r="H1" s="2"/>
    </row>
    <row r="2" spans="1:8" x14ac:dyDescent="0.35">
      <c r="A2" s="6" t="s">
        <v>86</v>
      </c>
    </row>
    <row r="4" spans="1:8" ht="16" customHeight="1" x14ac:dyDescent="0.35">
      <c r="A4" s="4" t="s">
        <v>87</v>
      </c>
      <c r="B4" s="5"/>
      <c r="C4" s="5"/>
      <c r="D4" s="5"/>
      <c r="E4" s="5"/>
      <c r="F4" s="5"/>
      <c r="G4" s="5"/>
      <c r="H4" s="5"/>
    </row>
    <row r="5" spans="1:8" x14ac:dyDescent="0.35">
      <c r="B5" s="9" t="s">
        <v>88</v>
      </c>
      <c r="C5" s="30">
        <v>4.8000000000000001E-2</v>
      </c>
    </row>
    <row r="6" spans="1:8" x14ac:dyDescent="0.35">
      <c r="B6" s="9" t="s">
        <v>89</v>
      </c>
      <c r="C6" s="31">
        <v>0.2</v>
      </c>
      <c r="H6" s="6" t="s">
        <v>90</v>
      </c>
    </row>
    <row r="7" spans="1:8" x14ac:dyDescent="0.35">
      <c r="B7" s="9" t="s">
        <v>91</v>
      </c>
      <c r="C7" s="17">
        <f>1-C6</f>
        <v>0.8</v>
      </c>
    </row>
    <row r="8" spans="1:8" x14ac:dyDescent="0.35">
      <c r="B8" s="9" t="s">
        <v>92</v>
      </c>
      <c r="C8" s="32">
        <f>C5*C7</f>
        <v>3.8400000000000004E-2</v>
      </c>
      <c r="H8" s="6" t="s">
        <v>93</v>
      </c>
    </row>
    <row r="9" spans="1:8" x14ac:dyDescent="0.35">
      <c r="B9" s="9" t="s">
        <v>94</v>
      </c>
      <c r="C9" s="32">
        <f>C5*C6</f>
        <v>9.6000000000000009E-3</v>
      </c>
    </row>
    <row r="11" spans="1:8" ht="16" customHeight="1" x14ac:dyDescent="0.35">
      <c r="A11" s="4" t="s">
        <v>95</v>
      </c>
      <c r="B11" s="5"/>
      <c r="C11" s="5"/>
      <c r="D11" s="5"/>
      <c r="E11" s="5"/>
      <c r="F11" s="5"/>
      <c r="G11" s="5"/>
      <c r="H11" s="5"/>
    </row>
    <row r="12" spans="1:8" x14ac:dyDescent="0.35">
      <c r="B12" s="9" t="s">
        <v>96</v>
      </c>
      <c r="C12" s="30">
        <v>5.0000000000000001E-3</v>
      </c>
    </row>
    <row r="13" spans="1:8" x14ac:dyDescent="0.35">
      <c r="B13" s="9" t="s">
        <v>97</v>
      </c>
      <c r="C13" s="31">
        <v>5.5E-2</v>
      </c>
      <c r="H13" s="6" t="s">
        <v>98</v>
      </c>
    </row>
    <row r="14" spans="1:8" x14ac:dyDescent="0.35">
      <c r="B14" s="9" t="s">
        <v>99</v>
      </c>
      <c r="C14" s="31">
        <v>0.08</v>
      </c>
      <c r="H14" s="6" t="s">
        <v>100</v>
      </c>
    </row>
    <row r="15" spans="1:8" x14ac:dyDescent="0.35">
      <c r="B15" s="9"/>
      <c r="C15" s="14" t="s">
        <v>101</v>
      </c>
      <c r="D15" s="14" t="s">
        <v>102</v>
      </c>
      <c r="E15" s="14" t="s">
        <v>103</v>
      </c>
      <c r="F15" s="14" t="s">
        <v>104</v>
      </c>
      <c r="G15" s="14" t="s">
        <v>105</v>
      </c>
    </row>
    <row r="16" spans="1:8" x14ac:dyDescent="0.35">
      <c r="B16" s="9" t="s">
        <v>106</v>
      </c>
      <c r="C16" s="31">
        <v>0</v>
      </c>
      <c r="D16" s="31">
        <v>0.45</v>
      </c>
      <c r="E16" s="31">
        <v>0.7</v>
      </c>
      <c r="F16" s="31">
        <v>0.9</v>
      </c>
      <c r="G16" s="31">
        <v>1</v>
      </c>
      <c r="H16" s="6" t="s">
        <v>107</v>
      </c>
    </row>
    <row r="17" spans="1:8" x14ac:dyDescent="0.35">
      <c r="A17" s="6" t="s">
        <v>108</v>
      </c>
    </row>
    <row r="19" spans="1:8" ht="16" customHeight="1" x14ac:dyDescent="0.35">
      <c r="A19" s="4" t="s">
        <v>109</v>
      </c>
      <c r="B19" s="5"/>
      <c r="C19" s="5"/>
      <c r="D19" s="5"/>
      <c r="E19" s="5"/>
      <c r="F19" s="5"/>
      <c r="G19" s="5"/>
      <c r="H19" s="5"/>
    </row>
    <row r="20" spans="1:8" ht="30" customHeight="1" x14ac:dyDescent="0.35">
      <c r="B20" s="14" t="s">
        <v>110</v>
      </c>
      <c r="C20" s="14" t="s">
        <v>111</v>
      </c>
      <c r="D20" s="14" t="s">
        <v>112</v>
      </c>
      <c r="E20" s="14" t="s">
        <v>113</v>
      </c>
      <c r="F20" s="14" t="s">
        <v>114</v>
      </c>
      <c r="G20" s="14" t="s">
        <v>115</v>
      </c>
      <c r="H20" s="14" t="s">
        <v>116</v>
      </c>
    </row>
    <row r="21" spans="1:8" x14ac:dyDescent="0.35">
      <c r="B21" s="9" t="s">
        <v>117</v>
      </c>
      <c r="C21" s="33">
        <v>40</v>
      </c>
      <c r="D21" s="34">
        <v>900</v>
      </c>
      <c r="E21" s="30">
        <v>3.2500000000000001E-2</v>
      </c>
      <c r="F21" s="31">
        <v>0.08</v>
      </c>
      <c r="G21" s="31">
        <v>0.01</v>
      </c>
      <c r="H21" s="35">
        <v>0.25</v>
      </c>
    </row>
    <row r="22" spans="1:8" x14ac:dyDescent="0.35">
      <c r="B22" s="9" t="s">
        <v>118</v>
      </c>
      <c r="C22" s="33">
        <v>57.5</v>
      </c>
      <c r="D22" s="34">
        <v>2500</v>
      </c>
      <c r="E22" s="30">
        <v>2.2499999999999999E-2</v>
      </c>
      <c r="F22" s="31">
        <v>0.25</v>
      </c>
      <c r="G22" s="31">
        <v>0.02</v>
      </c>
      <c r="H22" s="35">
        <v>0.6</v>
      </c>
    </row>
    <row r="23" spans="1:8" x14ac:dyDescent="0.35">
      <c r="B23" s="9" t="s">
        <v>119</v>
      </c>
      <c r="C23" s="33">
        <v>70</v>
      </c>
      <c r="D23" s="34">
        <v>4250</v>
      </c>
      <c r="E23" s="30">
        <v>1.2500000000000001E-2</v>
      </c>
      <c r="F23" s="31">
        <v>0.4</v>
      </c>
      <c r="G23" s="31">
        <v>2.5000000000000001E-2</v>
      </c>
      <c r="H23" s="35">
        <v>1</v>
      </c>
    </row>
    <row r="24" spans="1:8" x14ac:dyDescent="0.35">
      <c r="B24" s="9" t="s">
        <v>120</v>
      </c>
      <c r="C24" s="33">
        <v>47.5</v>
      </c>
      <c r="D24" s="34">
        <v>6000</v>
      </c>
      <c r="E24" s="30">
        <v>1.4999999999999999E-2</v>
      </c>
      <c r="F24" s="31">
        <v>0.7</v>
      </c>
      <c r="G24" s="31">
        <v>3.5000000000000003E-2</v>
      </c>
      <c r="H24" s="35">
        <v>2</v>
      </c>
    </row>
    <row r="26" spans="1:8" x14ac:dyDescent="0.35">
      <c r="B26" s="7" t="s">
        <v>121</v>
      </c>
    </row>
    <row r="27" spans="1:8" x14ac:dyDescent="0.35">
      <c r="B27" s="9" t="s">
        <v>122</v>
      </c>
      <c r="C27" s="18">
        <f>D21*G21</f>
        <v>9</v>
      </c>
    </row>
    <row r="28" spans="1:8" x14ac:dyDescent="0.35">
      <c r="B28" s="9" t="s">
        <v>123</v>
      </c>
      <c r="C28" s="18">
        <f>D22*G22</f>
        <v>50</v>
      </c>
    </row>
    <row r="29" spans="1:8" x14ac:dyDescent="0.35">
      <c r="B29" s="9" t="s">
        <v>124</v>
      </c>
      <c r="C29" s="18">
        <f>D23*G23</f>
        <v>106.25</v>
      </c>
    </row>
    <row r="30" spans="1:8" x14ac:dyDescent="0.35">
      <c r="B30" s="9" t="s">
        <v>125</v>
      </c>
      <c r="C30" s="18">
        <f>D24*G24</f>
        <v>210.00000000000003</v>
      </c>
    </row>
    <row r="31" spans="1:8" x14ac:dyDescent="0.35">
      <c r="A31" s="6" t="s">
        <v>126</v>
      </c>
    </row>
    <row r="33" spans="1:8" ht="16" customHeight="1" x14ac:dyDescent="0.35">
      <c r="A33" s="4" t="s">
        <v>127</v>
      </c>
      <c r="B33" s="5"/>
      <c r="C33" s="5"/>
      <c r="D33" s="5"/>
      <c r="E33" s="5"/>
      <c r="F33" s="5"/>
      <c r="G33" s="5"/>
      <c r="H33" s="5"/>
    </row>
    <row r="34" spans="1:8" x14ac:dyDescent="0.35">
      <c r="B34" s="9" t="s">
        <v>110</v>
      </c>
      <c r="C34" s="14" t="s">
        <v>101</v>
      </c>
      <c r="D34" s="14" t="s">
        <v>102</v>
      </c>
      <c r="E34" s="14" t="s">
        <v>103</v>
      </c>
      <c r="F34" s="14" t="s">
        <v>104</v>
      </c>
      <c r="G34" s="14" t="s">
        <v>105</v>
      </c>
    </row>
    <row r="35" spans="1:8" x14ac:dyDescent="0.35">
      <c r="B35" s="9" t="s">
        <v>117</v>
      </c>
      <c r="C35" s="31">
        <v>0.6</v>
      </c>
      <c r="D35" s="31">
        <v>0.47499999999999998</v>
      </c>
      <c r="E35" s="31">
        <v>0.35</v>
      </c>
      <c r="F35" s="31">
        <v>0.35</v>
      </c>
      <c r="G35" s="31">
        <v>0.35</v>
      </c>
    </row>
    <row r="36" spans="1:8" x14ac:dyDescent="0.35">
      <c r="B36" s="9" t="s">
        <v>118</v>
      </c>
      <c r="C36" s="31">
        <v>0.3</v>
      </c>
      <c r="D36" s="31">
        <v>0.375</v>
      </c>
      <c r="E36" s="31">
        <v>0.45</v>
      </c>
      <c r="F36" s="31">
        <v>0.45</v>
      </c>
      <c r="G36" s="31">
        <v>0.45</v>
      </c>
    </row>
    <row r="37" spans="1:8" x14ac:dyDescent="0.35">
      <c r="B37" s="9" t="s">
        <v>119</v>
      </c>
      <c r="C37" s="31">
        <v>0</v>
      </c>
      <c r="D37" s="31">
        <v>7.4999999999999997E-2</v>
      </c>
      <c r="E37" s="31">
        <v>0.15</v>
      </c>
      <c r="F37" s="31">
        <v>0.15</v>
      </c>
      <c r="G37" s="31">
        <v>0.15</v>
      </c>
    </row>
    <row r="38" spans="1:8" x14ac:dyDescent="0.35">
      <c r="B38" s="9" t="s">
        <v>120</v>
      </c>
      <c r="C38" s="31">
        <v>0.1</v>
      </c>
      <c r="D38" s="31">
        <v>7.4999999999999997E-2</v>
      </c>
      <c r="E38" s="31">
        <v>0.05</v>
      </c>
      <c r="F38" s="31">
        <v>0.05</v>
      </c>
      <c r="G38" s="31">
        <v>0.05</v>
      </c>
    </row>
    <row r="39" spans="1:8" x14ac:dyDescent="0.35">
      <c r="B39" s="7" t="s">
        <v>128</v>
      </c>
      <c r="C39" s="36">
        <f>SUM(C35:C38)</f>
        <v>0.99999999999999989</v>
      </c>
      <c r="D39" s="36">
        <f>SUM(D35:D38)</f>
        <v>0.99999999999999989</v>
      </c>
      <c r="E39" s="36">
        <f>SUM(E35:E38)</f>
        <v>1</v>
      </c>
      <c r="F39" s="36">
        <f>SUM(F35:F38)</f>
        <v>1</v>
      </c>
      <c r="G39" s="36">
        <f>SUM(G35:G38)</f>
        <v>1</v>
      </c>
    </row>
    <row r="41" spans="1:8" ht="16" customHeight="1" x14ac:dyDescent="0.35">
      <c r="A41" s="4" t="s">
        <v>129</v>
      </c>
      <c r="B41" s="5"/>
      <c r="C41" s="5"/>
      <c r="D41" s="5"/>
      <c r="E41" s="5"/>
      <c r="F41" s="5"/>
      <c r="G41" s="5"/>
      <c r="H41" s="5"/>
    </row>
    <row r="42" spans="1:8" x14ac:dyDescent="0.35">
      <c r="B42" s="9" t="s">
        <v>130</v>
      </c>
      <c r="C42" s="37">
        <v>1000</v>
      </c>
    </row>
    <row r="43" spans="1:8" x14ac:dyDescent="0.35">
      <c r="B43" s="9"/>
      <c r="C43" s="14" t="s">
        <v>101</v>
      </c>
      <c r="D43" s="14" t="s">
        <v>102</v>
      </c>
      <c r="E43" s="14" t="s">
        <v>103</v>
      </c>
      <c r="F43" s="14" t="s">
        <v>104</v>
      </c>
      <c r="G43" s="14" t="s">
        <v>105</v>
      </c>
    </row>
    <row r="44" spans="1:8" x14ac:dyDescent="0.35">
      <c r="B44" s="9" t="s">
        <v>131</v>
      </c>
      <c r="C44" s="37">
        <v>10000</v>
      </c>
      <c r="D44" s="37">
        <v>35000</v>
      </c>
      <c r="E44" s="37">
        <v>100000</v>
      </c>
      <c r="F44" s="37">
        <v>250000</v>
      </c>
      <c r="G44" s="37">
        <v>500000</v>
      </c>
    </row>
    <row r="46" spans="1:8" ht="16" customHeight="1" x14ac:dyDescent="0.35">
      <c r="A46" s="4" t="s">
        <v>132</v>
      </c>
      <c r="B46" s="5"/>
      <c r="C46" s="5"/>
      <c r="D46" s="5"/>
      <c r="E46" s="5"/>
      <c r="F46" s="5"/>
      <c r="G46" s="5"/>
      <c r="H46" s="5"/>
    </row>
    <row r="47" spans="1:8" x14ac:dyDescent="0.35">
      <c r="B47" s="9" t="s">
        <v>133</v>
      </c>
      <c r="C47" s="31">
        <v>0.2</v>
      </c>
    </row>
    <row r="48" spans="1:8" x14ac:dyDescent="0.35">
      <c r="B48" s="9" t="s">
        <v>134</v>
      </c>
      <c r="C48" s="31">
        <v>0.4</v>
      </c>
    </row>
    <row r="49" spans="1:8" x14ac:dyDescent="0.35">
      <c r="B49" s="9" t="s">
        <v>135</v>
      </c>
      <c r="C49" s="17">
        <f>1-C48</f>
        <v>0.6</v>
      </c>
    </row>
    <row r="50" spans="1:8" x14ac:dyDescent="0.35">
      <c r="B50" s="9" t="s">
        <v>136</v>
      </c>
      <c r="C50" s="30">
        <v>5.0000000000000001E-3</v>
      </c>
    </row>
    <row r="51" spans="1:8" x14ac:dyDescent="0.35">
      <c r="B51" s="9" t="s">
        <v>137</v>
      </c>
      <c r="C51" s="30">
        <v>3.5000000000000001E-3</v>
      </c>
    </row>
    <row r="52" spans="1:8" x14ac:dyDescent="0.35">
      <c r="B52" s="9" t="s">
        <v>138</v>
      </c>
      <c r="C52" s="33">
        <v>0.15</v>
      </c>
    </row>
    <row r="53" spans="1:8" x14ac:dyDescent="0.35">
      <c r="B53" s="9" t="s">
        <v>139</v>
      </c>
      <c r="C53" s="33">
        <v>45</v>
      </c>
    </row>
    <row r="54" spans="1:8" x14ac:dyDescent="0.35">
      <c r="B54" s="9" t="s">
        <v>140</v>
      </c>
      <c r="C54" s="33">
        <v>0.5</v>
      </c>
    </row>
    <row r="56" spans="1:8" ht="16" customHeight="1" x14ac:dyDescent="0.35">
      <c r="A56" s="4" t="s">
        <v>141</v>
      </c>
      <c r="B56" s="5"/>
      <c r="C56" s="5"/>
      <c r="D56" s="5"/>
      <c r="E56" s="5"/>
      <c r="F56" s="5"/>
      <c r="G56" s="5"/>
      <c r="H56" s="5"/>
    </row>
    <row r="57" spans="1:8" x14ac:dyDescent="0.35">
      <c r="B57" s="9" t="s">
        <v>142</v>
      </c>
      <c r="C57" s="31">
        <v>0.15</v>
      </c>
    </row>
    <row r="58" spans="1:8" x14ac:dyDescent="0.35">
      <c r="B58" s="9" t="s">
        <v>143</v>
      </c>
      <c r="C58" s="38">
        <f>(1+C57)^(1/12)-1</f>
        <v>1.171491691985338E-2</v>
      </c>
    </row>
    <row r="59" spans="1:8" x14ac:dyDescent="0.35">
      <c r="B59" s="9" t="s">
        <v>144</v>
      </c>
      <c r="C59" s="37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showGridLines="0" workbookViewId="0"/>
  </sheetViews>
  <sheetFormatPr defaultRowHeight="14.5" x14ac:dyDescent="0.35"/>
  <cols>
    <col min="1" max="1" width="3" customWidth="1"/>
    <col min="2" max="2" width="42" customWidth="1"/>
    <col min="3" max="22" width="12" customWidth="1"/>
  </cols>
  <sheetData>
    <row r="1" spans="1:22" ht="22" customHeight="1" x14ac:dyDescent="0.45">
      <c r="A1" s="1" t="s">
        <v>145</v>
      </c>
      <c r="B1" s="2"/>
      <c r="C1" s="2"/>
      <c r="D1" s="2"/>
      <c r="E1" s="2"/>
      <c r="F1" s="2"/>
      <c r="G1" s="2"/>
      <c r="H1" s="2"/>
    </row>
    <row r="5" spans="1:22" x14ac:dyDescent="0.35">
      <c r="B5" s="13" t="s">
        <v>146</v>
      </c>
      <c r="C5" s="39">
        <v>1</v>
      </c>
      <c r="D5" s="39">
        <v>2</v>
      </c>
      <c r="E5" s="39">
        <v>3</v>
      </c>
      <c r="F5" s="39">
        <v>4</v>
      </c>
      <c r="G5" s="39">
        <v>5</v>
      </c>
      <c r="H5" s="39">
        <v>6</v>
      </c>
      <c r="I5" s="39">
        <v>7</v>
      </c>
      <c r="J5" s="39">
        <v>8</v>
      </c>
      <c r="K5" s="39">
        <v>9</v>
      </c>
      <c r="L5" s="39">
        <v>10</v>
      </c>
      <c r="M5" s="39">
        <v>11</v>
      </c>
      <c r="N5" s="39">
        <v>12</v>
      </c>
      <c r="O5" s="39">
        <v>13</v>
      </c>
      <c r="P5" s="39">
        <v>14</v>
      </c>
      <c r="Q5" s="39">
        <v>15</v>
      </c>
      <c r="R5" s="39">
        <v>16</v>
      </c>
      <c r="S5" s="39">
        <v>17</v>
      </c>
      <c r="T5" s="39">
        <v>18</v>
      </c>
      <c r="U5" s="39">
        <v>19</v>
      </c>
      <c r="V5" s="39">
        <v>20</v>
      </c>
    </row>
    <row r="6" spans="1:22" x14ac:dyDescent="0.35">
      <c r="B6" s="9" t="s">
        <v>147</v>
      </c>
      <c r="C6" s="40">
        <f t="shared" ref="C6:V6" si="0">INT((C5-1)/4)+1</f>
        <v>1</v>
      </c>
      <c r="D6" s="40">
        <f t="shared" si="0"/>
        <v>1</v>
      </c>
      <c r="E6" s="40">
        <f t="shared" si="0"/>
        <v>1</v>
      </c>
      <c r="F6" s="40">
        <f t="shared" si="0"/>
        <v>1</v>
      </c>
      <c r="G6" s="40">
        <f t="shared" si="0"/>
        <v>2</v>
      </c>
      <c r="H6" s="40">
        <f t="shared" si="0"/>
        <v>2</v>
      </c>
      <c r="I6" s="40">
        <f t="shared" si="0"/>
        <v>2</v>
      </c>
      <c r="J6" s="40">
        <f t="shared" si="0"/>
        <v>2</v>
      </c>
      <c r="K6" s="40">
        <f t="shared" si="0"/>
        <v>3</v>
      </c>
      <c r="L6" s="40">
        <f t="shared" si="0"/>
        <v>3</v>
      </c>
      <c r="M6" s="40">
        <f t="shared" si="0"/>
        <v>3</v>
      </c>
      <c r="N6" s="40">
        <f t="shared" si="0"/>
        <v>3</v>
      </c>
      <c r="O6" s="40">
        <f t="shared" si="0"/>
        <v>4</v>
      </c>
      <c r="P6" s="40">
        <f t="shared" si="0"/>
        <v>4</v>
      </c>
      <c r="Q6" s="40">
        <f t="shared" si="0"/>
        <v>4</v>
      </c>
      <c r="R6" s="40">
        <f t="shared" si="0"/>
        <v>4</v>
      </c>
      <c r="S6" s="40">
        <f t="shared" si="0"/>
        <v>5</v>
      </c>
      <c r="T6" s="40">
        <f t="shared" si="0"/>
        <v>5</v>
      </c>
      <c r="U6" s="40">
        <f t="shared" si="0"/>
        <v>5</v>
      </c>
      <c r="V6" s="40">
        <f t="shared" si="0"/>
        <v>5</v>
      </c>
    </row>
    <row r="7" spans="1:22" x14ac:dyDescent="0.35">
      <c r="B7" s="9" t="s">
        <v>148</v>
      </c>
      <c r="C7" s="41" t="s">
        <v>149</v>
      </c>
      <c r="D7" s="41" t="s">
        <v>150</v>
      </c>
      <c r="E7" s="41" t="s">
        <v>151</v>
      </c>
      <c r="F7" s="41" t="s">
        <v>152</v>
      </c>
      <c r="G7" s="41" t="s">
        <v>153</v>
      </c>
      <c r="H7" s="41" t="s">
        <v>154</v>
      </c>
      <c r="I7" s="41" t="s">
        <v>155</v>
      </c>
      <c r="J7" s="41" t="s">
        <v>156</v>
      </c>
      <c r="K7" s="41" t="s">
        <v>157</v>
      </c>
      <c r="L7" s="41" t="s">
        <v>158</v>
      </c>
      <c r="M7" s="41" t="s">
        <v>159</v>
      </c>
      <c r="N7" s="41" t="s">
        <v>160</v>
      </c>
      <c r="O7" s="41" t="s">
        <v>161</v>
      </c>
      <c r="P7" s="41" t="s">
        <v>162</v>
      </c>
      <c r="Q7" s="41" t="s">
        <v>163</v>
      </c>
      <c r="R7" s="41" t="s">
        <v>164</v>
      </c>
      <c r="S7" s="41" t="s">
        <v>165</v>
      </c>
      <c r="T7" s="41" t="s">
        <v>166</v>
      </c>
      <c r="U7" s="41" t="s">
        <v>167</v>
      </c>
      <c r="V7" s="41" t="s">
        <v>168</v>
      </c>
    </row>
    <row r="9" spans="1:22" ht="16" customHeight="1" x14ac:dyDescent="0.35">
      <c r="A9" s="4" t="s">
        <v>169</v>
      </c>
      <c r="B9" s="5"/>
      <c r="C9" s="5"/>
      <c r="D9" s="5"/>
      <c r="E9" s="5"/>
      <c r="F9" s="5"/>
      <c r="G9" s="5"/>
      <c r="H9" s="5"/>
    </row>
    <row r="10" spans="1:22" x14ac:dyDescent="0.35">
      <c r="B10" s="9" t="s">
        <v>170</v>
      </c>
      <c r="C10" s="40">
        <f>INDEX(Assumptions!$C$44:$G$44,1,'Consumer Model'!C$6)</f>
        <v>10000</v>
      </c>
      <c r="D10" s="40">
        <f>INDEX(Assumptions!$C$44:$G$44,1,'Consumer Model'!D$6)</f>
        <v>10000</v>
      </c>
      <c r="E10" s="40">
        <f>INDEX(Assumptions!$C$44:$G$44,1,'Consumer Model'!E$6)</f>
        <v>10000</v>
      </c>
      <c r="F10" s="40">
        <f>INDEX(Assumptions!$C$44:$G$44,1,'Consumer Model'!F$6)</f>
        <v>10000</v>
      </c>
      <c r="G10" s="40">
        <f>INDEX(Assumptions!$C$44:$G$44,1,'Consumer Model'!G$6)</f>
        <v>35000</v>
      </c>
      <c r="H10" s="40">
        <f>INDEX(Assumptions!$C$44:$G$44,1,'Consumer Model'!H$6)</f>
        <v>35000</v>
      </c>
      <c r="I10" s="40">
        <f>INDEX(Assumptions!$C$44:$G$44,1,'Consumer Model'!I$6)</f>
        <v>35000</v>
      </c>
      <c r="J10" s="40">
        <f>INDEX(Assumptions!$C$44:$G$44,1,'Consumer Model'!J$6)</f>
        <v>35000</v>
      </c>
      <c r="K10" s="40">
        <f>INDEX(Assumptions!$C$44:$G$44,1,'Consumer Model'!K$6)</f>
        <v>100000</v>
      </c>
      <c r="L10" s="40">
        <f>INDEX(Assumptions!$C$44:$G$44,1,'Consumer Model'!L$6)</f>
        <v>100000</v>
      </c>
      <c r="M10" s="40">
        <f>INDEX(Assumptions!$C$44:$G$44,1,'Consumer Model'!M$6)</f>
        <v>100000</v>
      </c>
      <c r="N10" s="40">
        <f>INDEX(Assumptions!$C$44:$G$44,1,'Consumer Model'!N$6)</f>
        <v>100000</v>
      </c>
      <c r="O10" s="40">
        <f>INDEX(Assumptions!$C$44:$G$44,1,'Consumer Model'!O$6)</f>
        <v>250000</v>
      </c>
      <c r="P10" s="40">
        <f>INDEX(Assumptions!$C$44:$G$44,1,'Consumer Model'!P$6)</f>
        <v>250000</v>
      </c>
      <c r="Q10" s="40">
        <f>INDEX(Assumptions!$C$44:$G$44,1,'Consumer Model'!Q$6)</f>
        <v>250000</v>
      </c>
      <c r="R10" s="40">
        <f>INDEX(Assumptions!$C$44:$G$44,1,'Consumer Model'!R$6)</f>
        <v>250000</v>
      </c>
      <c r="S10" s="40">
        <f>INDEX(Assumptions!$C$44:$G$44,1,'Consumer Model'!S$6)</f>
        <v>500000</v>
      </c>
      <c r="T10" s="40">
        <f>INDEX(Assumptions!$C$44:$G$44,1,'Consumer Model'!T$6)</f>
        <v>500000</v>
      </c>
      <c r="U10" s="40">
        <f>INDEX(Assumptions!$C$44:$G$44,1,'Consumer Model'!U$6)</f>
        <v>500000</v>
      </c>
      <c r="V10" s="40">
        <f>INDEX(Assumptions!$C$44:$G$44,1,'Consumer Model'!V$6)</f>
        <v>500000</v>
      </c>
    </row>
    <row r="11" spans="1:22" x14ac:dyDescent="0.35">
      <c r="B11" s="9" t="s">
        <v>171</v>
      </c>
      <c r="C11" s="40">
        <f>IF('Consumer Model'!C$6=1,Assumptions!$C$42,INDEX(Assumptions!$C$44:$G$44,1,'Consumer Model'!C$6-1))</f>
        <v>1000</v>
      </c>
      <c r="D11" s="40">
        <f>IF('Consumer Model'!D$6=1,Assumptions!$C$42,INDEX(Assumptions!$C$44:$G$44,1,'Consumer Model'!D$6-1))</f>
        <v>1000</v>
      </c>
      <c r="E11" s="40">
        <f>IF('Consumer Model'!E$6=1,Assumptions!$C$42,INDEX(Assumptions!$C$44:$G$44,1,'Consumer Model'!E$6-1))</f>
        <v>1000</v>
      </c>
      <c r="F11" s="40">
        <f>IF('Consumer Model'!F$6=1,Assumptions!$C$42,INDEX(Assumptions!$C$44:$G$44,1,'Consumer Model'!F$6-1))</f>
        <v>1000</v>
      </c>
      <c r="G11" s="40">
        <f>IF('Consumer Model'!G$6=1,Assumptions!$C$42,INDEX(Assumptions!$C$44:$G$44,1,'Consumer Model'!G$6-1))</f>
        <v>10000</v>
      </c>
      <c r="H11" s="40">
        <f>IF('Consumer Model'!H$6=1,Assumptions!$C$42,INDEX(Assumptions!$C$44:$G$44,1,'Consumer Model'!H$6-1))</f>
        <v>10000</v>
      </c>
      <c r="I11" s="40">
        <f>IF('Consumer Model'!I$6=1,Assumptions!$C$42,INDEX(Assumptions!$C$44:$G$44,1,'Consumer Model'!I$6-1))</f>
        <v>10000</v>
      </c>
      <c r="J11" s="40">
        <f>IF('Consumer Model'!J$6=1,Assumptions!$C$42,INDEX(Assumptions!$C$44:$G$44,1,'Consumer Model'!J$6-1))</f>
        <v>10000</v>
      </c>
      <c r="K11" s="40">
        <f>IF('Consumer Model'!K$6=1,Assumptions!$C$42,INDEX(Assumptions!$C$44:$G$44,1,'Consumer Model'!K$6-1))</f>
        <v>35000</v>
      </c>
      <c r="L11" s="40">
        <f>IF('Consumer Model'!L$6=1,Assumptions!$C$42,INDEX(Assumptions!$C$44:$G$44,1,'Consumer Model'!L$6-1))</f>
        <v>35000</v>
      </c>
      <c r="M11" s="40">
        <f>IF('Consumer Model'!M$6=1,Assumptions!$C$42,INDEX(Assumptions!$C$44:$G$44,1,'Consumer Model'!M$6-1))</f>
        <v>35000</v>
      </c>
      <c r="N11" s="40">
        <f>IF('Consumer Model'!N$6=1,Assumptions!$C$42,INDEX(Assumptions!$C$44:$G$44,1,'Consumer Model'!N$6-1))</f>
        <v>35000</v>
      </c>
      <c r="O11" s="40">
        <f>IF('Consumer Model'!O$6=1,Assumptions!$C$42,INDEX(Assumptions!$C$44:$G$44,1,'Consumer Model'!O$6-1))</f>
        <v>100000</v>
      </c>
      <c r="P11" s="40">
        <f>IF('Consumer Model'!P$6=1,Assumptions!$C$42,INDEX(Assumptions!$C$44:$G$44,1,'Consumer Model'!P$6-1))</f>
        <v>100000</v>
      </c>
      <c r="Q11" s="40">
        <f>IF('Consumer Model'!Q$6=1,Assumptions!$C$42,INDEX(Assumptions!$C$44:$G$44,1,'Consumer Model'!Q$6-1))</f>
        <v>100000</v>
      </c>
      <c r="R11" s="40">
        <f>IF('Consumer Model'!R$6=1,Assumptions!$C$42,INDEX(Assumptions!$C$44:$G$44,1,'Consumer Model'!R$6-1))</f>
        <v>100000</v>
      </c>
      <c r="S11" s="40">
        <f>IF('Consumer Model'!S$6=1,Assumptions!$C$42,INDEX(Assumptions!$C$44:$G$44,1,'Consumer Model'!S$6-1))</f>
        <v>250000</v>
      </c>
      <c r="T11" s="40">
        <f>IF('Consumer Model'!T$6=1,Assumptions!$C$42,INDEX(Assumptions!$C$44:$G$44,1,'Consumer Model'!T$6-1))</f>
        <v>250000</v>
      </c>
      <c r="U11" s="40">
        <f>IF('Consumer Model'!U$6=1,Assumptions!$C$42,INDEX(Assumptions!$C$44:$G$44,1,'Consumer Model'!U$6-1))</f>
        <v>250000</v>
      </c>
      <c r="V11" s="40">
        <f>IF('Consumer Model'!V$6=1,Assumptions!$C$42,INDEX(Assumptions!$C$44:$G$44,1,'Consumer Model'!V$6-1))</f>
        <v>250000</v>
      </c>
    </row>
    <row r="12" spans="1:22" x14ac:dyDescent="0.35">
      <c r="B12" s="7" t="s">
        <v>172</v>
      </c>
      <c r="C12" s="42">
        <f>C11*(C10/C11)^((C5-('Consumer Model'!C$6-1)*4)/4)</f>
        <v>1778.2794100389231</v>
      </c>
      <c r="D12" s="42">
        <f>D11*(D10/D11)^((D5-('Consumer Model'!D$6-1)*4)/4)</f>
        <v>3162.2776601683795</v>
      </c>
      <c r="E12" s="42">
        <f>E11*(E10/E11)^((E5-('Consumer Model'!E$6-1)*4)/4)</f>
        <v>5623.413251903492</v>
      </c>
      <c r="F12" s="42">
        <f>F11*(F10/F11)^((F5-('Consumer Model'!F$6-1)*4)/4)</f>
        <v>10000</v>
      </c>
      <c r="G12" s="42">
        <f>G11*(G10/G11)^((G5-('Consumer Model'!G$6-1)*4)/4)</f>
        <v>13677.823998673806</v>
      </c>
      <c r="H12" s="42">
        <f>H11*(H10/H11)^((H5-('Consumer Model'!H$6-1)*4)/4)</f>
        <v>18708.286933869706</v>
      </c>
      <c r="I12" s="42">
        <f>I11*(I10/I11)^((I5-('Consumer Model'!I$6-1)*4)/4)</f>
        <v>25588.865599815865</v>
      </c>
      <c r="J12" s="42">
        <f>J11*(J10/J11)^((J5-('Consumer Model'!J$6-1)*4)/4)</f>
        <v>35000</v>
      </c>
      <c r="K12" s="42">
        <f>K11*(K10/K11)^((K5-('Consumer Model'!K$6-1)*4)/4)</f>
        <v>45504.152822405842</v>
      </c>
      <c r="L12" s="42">
        <f>L11*(L10/L11)^((L5-('Consumer Model'!L$6-1)*4)/4)</f>
        <v>59160.797830996162</v>
      </c>
      <c r="M12" s="42">
        <f>M11*(M10/M11)^((M5-('Consumer Model'!M$6-1)*4)/4)</f>
        <v>76916.05673134586</v>
      </c>
      <c r="N12" s="42">
        <f>N11*(N10/N11)^((N5-('Consumer Model'!N$6-1)*4)/4)</f>
        <v>100000</v>
      </c>
      <c r="O12" s="42">
        <f>O11*(O10/O11)^((O5-('Consumer Model'!O$6-1)*4)/4)</f>
        <v>125743.34296829355</v>
      </c>
      <c r="P12" s="42">
        <f>P11*(P10/P11)^((P5-('Consumer Model'!P$6-1)*4)/4)</f>
        <v>158113.88300841898</v>
      </c>
      <c r="Q12" s="42">
        <f>Q11*(Q10/Q11)^((Q5-('Consumer Model'!Q$6-1)*4)/4)</f>
        <v>198817.68219176267</v>
      </c>
      <c r="R12" s="42">
        <f>R11*(R10/R11)^((R5-('Consumer Model'!R$6-1)*4)/4)</f>
        <v>250000</v>
      </c>
      <c r="S12" s="42">
        <f>S11*(S10/S11)^((S5-('Consumer Model'!S$6-1)*4)/4)</f>
        <v>297301.77875068027</v>
      </c>
      <c r="T12" s="42">
        <f>T11*(T10/T11)^((T5-('Consumer Model'!T$6-1)*4)/4)</f>
        <v>353553.3905932738</v>
      </c>
      <c r="U12" s="42">
        <f>U11*(U10/U11)^((U5-('Consumer Model'!U$6-1)*4)/4)</f>
        <v>420448.20762685727</v>
      </c>
      <c r="V12" s="42">
        <f>V11*(V10/V11)^((V5-('Consumer Model'!V$6-1)*4)/4)</f>
        <v>500000</v>
      </c>
    </row>
    <row r="13" spans="1:22" x14ac:dyDescent="0.35">
      <c r="B13" s="9" t="s">
        <v>173</v>
      </c>
      <c r="C13" s="40">
        <f>Assumptions!$C$42</f>
        <v>1000</v>
      </c>
      <c r="D13" s="40">
        <f t="shared" ref="D13:V13" si="1">C12</f>
        <v>1778.2794100389231</v>
      </c>
      <c r="E13" s="40">
        <f t="shared" si="1"/>
        <v>3162.2776601683795</v>
      </c>
      <c r="F13" s="40">
        <f t="shared" si="1"/>
        <v>5623.413251903492</v>
      </c>
      <c r="G13" s="40">
        <f t="shared" si="1"/>
        <v>10000</v>
      </c>
      <c r="H13" s="40">
        <f t="shared" si="1"/>
        <v>13677.823998673806</v>
      </c>
      <c r="I13" s="40">
        <f t="shared" si="1"/>
        <v>18708.286933869706</v>
      </c>
      <c r="J13" s="40">
        <f t="shared" si="1"/>
        <v>25588.865599815865</v>
      </c>
      <c r="K13" s="40">
        <f t="shared" si="1"/>
        <v>35000</v>
      </c>
      <c r="L13" s="40">
        <f t="shared" si="1"/>
        <v>45504.152822405842</v>
      </c>
      <c r="M13" s="40">
        <f t="shared" si="1"/>
        <v>59160.797830996162</v>
      </c>
      <c r="N13" s="40">
        <f t="shared" si="1"/>
        <v>76916.05673134586</v>
      </c>
      <c r="O13" s="40">
        <f t="shared" si="1"/>
        <v>100000</v>
      </c>
      <c r="P13" s="40">
        <f t="shared" si="1"/>
        <v>125743.34296829355</v>
      </c>
      <c r="Q13" s="40">
        <f t="shared" si="1"/>
        <v>158113.88300841898</v>
      </c>
      <c r="R13" s="40">
        <f t="shared" si="1"/>
        <v>198817.68219176267</v>
      </c>
      <c r="S13" s="40">
        <f t="shared" si="1"/>
        <v>250000</v>
      </c>
      <c r="T13" s="40">
        <f t="shared" si="1"/>
        <v>297301.77875068027</v>
      </c>
      <c r="U13" s="40">
        <f t="shared" si="1"/>
        <v>353553.3905932738</v>
      </c>
      <c r="V13" s="40">
        <f t="shared" si="1"/>
        <v>420448.20762685727</v>
      </c>
    </row>
    <row r="14" spans="1:22" x14ac:dyDescent="0.35">
      <c r="B14" s="9" t="s">
        <v>174</v>
      </c>
      <c r="C14" s="40">
        <f t="shared" ref="C14:V14" si="2">(C13+C12)/2</f>
        <v>1389.1397050194614</v>
      </c>
      <c r="D14" s="40">
        <f t="shared" si="2"/>
        <v>2470.2785351036514</v>
      </c>
      <c r="E14" s="40">
        <f t="shared" si="2"/>
        <v>4392.845456035936</v>
      </c>
      <c r="F14" s="40">
        <f t="shared" si="2"/>
        <v>7811.706625951746</v>
      </c>
      <c r="G14" s="40">
        <f t="shared" si="2"/>
        <v>11838.911999336902</v>
      </c>
      <c r="H14" s="40">
        <f t="shared" si="2"/>
        <v>16193.055466271755</v>
      </c>
      <c r="I14" s="40">
        <f t="shared" si="2"/>
        <v>22148.576266842785</v>
      </c>
      <c r="J14" s="40">
        <f t="shared" si="2"/>
        <v>30294.432799907932</v>
      </c>
      <c r="K14" s="40">
        <f t="shared" si="2"/>
        <v>40252.076411202921</v>
      </c>
      <c r="L14" s="40">
        <f t="shared" si="2"/>
        <v>52332.475326701002</v>
      </c>
      <c r="M14" s="40">
        <f t="shared" si="2"/>
        <v>68038.427281171011</v>
      </c>
      <c r="N14" s="40">
        <f t="shared" si="2"/>
        <v>88458.02836567293</v>
      </c>
      <c r="O14" s="40">
        <f t="shared" si="2"/>
        <v>112871.67148414678</v>
      </c>
      <c r="P14" s="40">
        <f t="shared" si="2"/>
        <v>141928.61298835627</v>
      </c>
      <c r="Q14" s="40">
        <f t="shared" si="2"/>
        <v>178465.78260009084</v>
      </c>
      <c r="R14" s="40">
        <f t="shared" si="2"/>
        <v>224408.84109588133</v>
      </c>
      <c r="S14" s="40">
        <f t="shared" si="2"/>
        <v>273650.88937534014</v>
      </c>
      <c r="T14" s="40">
        <f t="shared" si="2"/>
        <v>325427.58467197703</v>
      </c>
      <c r="U14" s="40">
        <f t="shared" si="2"/>
        <v>387000.79911006556</v>
      </c>
      <c r="V14" s="40">
        <f t="shared" si="2"/>
        <v>460224.10381342866</v>
      </c>
    </row>
    <row r="15" spans="1:22" x14ac:dyDescent="0.35">
      <c r="B15" s="9" t="s">
        <v>175</v>
      </c>
      <c r="C15" s="32">
        <f>SUMPRODUCT(Assumptions!$E$21:$E$24,INDEX(Assumptions!$C$35:$G$38,0,'Consumer Model'!C$6))</f>
        <v>2.775E-2</v>
      </c>
      <c r="D15" s="32">
        <f>SUMPRODUCT(Assumptions!$E$21:$E$24,INDEX(Assumptions!$C$35:$G$38,0,'Consumer Model'!D$6))</f>
        <v>2.775E-2</v>
      </c>
      <c r="E15" s="32">
        <f>SUMPRODUCT(Assumptions!$E$21:$E$24,INDEX(Assumptions!$C$35:$G$38,0,'Consumer Model'!E$6))</f>
        <v>2.775E-2</v>
      </c>
      <c r="F15" s="32">
        <f>SUMPRODUCT(Assumptions!$E$21:$E$24,INDEX(Assumptions!$C$35:$G$38,0,'Consumer Model'!F$6))</f>
        <v>2.775E-2</v>
      </c>
      <c r="G15" s="32">
        <f>SUMPRODUCT(Assumptions!$E$21:$E$24,INDEX(Assumptions!$C$35:$G$38,0,'Consumer Model'!G$6))</f>
        <v>2.5937500000000002E-2</v>
      </c>
      <c r="H15" s="32">
        <f>SUMPRODUCT(Assumptions!$E$21:$E$24,INDEX(Assumptions!$C$35:$G$38,0,'Consumer Model'!H$6))</f>
        <v>2.5937500000000002E-2</v>
      </c>
      <c r="I15" s="32">
        <f>SUMPRODUCT(Assumptions!$E$21:$E$24,INDEX(Assumptions!$C$35:$G$38,0,'Consumer Model'!I$6))</f>
        <v>2.5937500000000002E-2</v>
      </c>
      <c r="J15" s="32">
        <f>SUMPRODUCT(Assumptions!$E$21:$E$24,INDEX(Assumptions!$C$35:$G$38,0,'Consumer Model'!J$6))</f>
        <v>2.5937500000000002E-2</v>
      </c>
      <c r="K15" s="32">
        <f>SUMPRODUCT(Assumptions!$E$21:$E$24,INDEX(Assumptions!$C$35:$G$38,0,'Consumer Model'!K$6))</f>
        <v>2.4125000000000001E-2</v>
      </c>
      <c r="L15" s="32">
        <f>SUMPRODUCT(Assumptions!$E$21:$E$24,INDEX(Assumptions!$C$35:$G$38,0,'Consumer Model'!L$6))</f>
        <v>2.4125000000000001E-2</v>
      </c>
      <c r="M15" s="32">
        <f>SUMPRODUCT(Assumptions!$E$21:$E$24,INDEX(Assumptions!$C$35:$G$38,0,'Consumer Model'!M$6))</f>
        <v>2.4125000000000001E-2</v>
      </c>
      <c r="N15" s="32">
        <f>SUMPRODUCT(Assumptions!$E$21:$E$24,INDEX(Assumptions!$C$35:$G$38,0,'Consumer Model'!N$6))</f>
        <v>2.4125000000000001E-2</v>
      </c>
      <c r="O15" s="32">
        <f>SUMPRODUCT(Assumptions!$E$21:$E$24,INDEX(Assumptions!$C$35:$G$38,0,'Consumer Model'!O$6))</f>
        <v>2.4125000000000001E-2</v>
      </c>
      <c r="P15" s="32">
        <f>SUMPRODUCT(Assumptions!$E$21:$E$24,INDEX(Assumptions!$C$35:$G$38,0,'Consumer Model'!P$6))</f>
        <v>2.4125000000000001E-2</v>
      </c>
      <c r="Q15" s="32">
        <f>SUMPRODUCT(Assumptions!$E$21:$E$24,INDEX(Assumptions!$C$35:$G$38,0,'Consumer Model'!Q$6))</f>
        <v>2.4125000000000001E-2</v>
      </c>
      <c r="R15" s="32">
        <f>SUMPRODUCT(Assumptions!$E$21:$E$24,INDEX(Assumptions!$C$35:$G$38,0,'Consumer Model'!R$6))</f>
        <v>2.4125000000000001E-2</v>
      </c>
      <c r="S15" s="32">
        <f>SUMPRODUCT(Assumptions!$E$21:$E$24,INDEX(Assumptions!$C$35:$G$38,0,'Consumer Model'!S$6))</f>
        <v>2.4125000000000001E-2</v>
      </c>
      <c r="T15" s="32">
        <f>SUMPRODUCT(Assumptions!$E$21:$E$24,INDEX(Assumptions!$C$35:$G$38,0,'Consumer Model'!T$6))</f>
        <v>2.4125000000000001E-2</v>
      </c>
      <c r="U15" s="32">
        <f>SUMPRODUCT(Assumptions!$E$21:$E$24,INDEX(Assumptions!$C$35:$G$38,0,'Consumer Model'!U$6))</f>
        <v>2.4125000000000001E-2</v>
      </c>
      <c r="V15" s="32">
        <f>SUMPRODUCT(Assumptions!$E$21:$E$24,INDEX(Assumptions!$C$35:$G$38,0,'Consumer Model'!V$6))</f>
        <v>2.4125000000000001E-2</v>
      </c>
    </row>
    <row r="16" spans="1:22" x14ac:dyDescent="0.35">
      <c r="B16" s="9" t="s">
        <v>176</v>
      </c>
      <c r="C16" s="17">
        <f t="shared" ref="C16:V16" si="3">1-(1-C15)^3</f>
        <v>8.0961181734375165E-2</v>
      </c>
      <c r="D16" s="17">
        <f t="shared" si="3"/>
        <v>8.0961181734375165E-2</v>
      </c>
      <c r="E16" s="17">
        <f t="shared" si="3"/>
        <v>8.0961181734375165E-2</v>
      </c>
      <c r="F16" s="17">
        <f t="shared" si="3"/>
        <v>8.0961181734375165E-2</v>
      </c>
      <c r="G16" s="17">
        <f t="shared" si="3"/>
        <v>7.5811687835693253E-2</v>
      </c>
      <c r="H16" s="17">
        <f t="shared" si="3"/>
        <v>7.5811687835693253E-2</v>
      </c>
      <c r="I16" s="17">
        <f t="shared" si="3"/>
        <v>7.5811687835693253E-2</v>
      </c>
      <c r="J16" s="17">
        <f t="shared" si="3"/>
        <v>7.5811687835693253E-2</v>
      </c>
      <c r="K16" s="17">
        <f t="shared" si="3"/>
        <v>7.0642994251952973E-2</v>
      </c>
      <c r="L16" s="17">
        <f t="shared" si="3"/>
        <v>7.0642994251952973E-2</v>
      </c>
      <c r="M16" s="17">
        <f t="shared" si="3"/>
        <v>7.0642994251952973E-2</v>
      </c>
      <c r="N16" s="17">
        <f t="shared" si="3"/>
        <v>7.0642994251952973E-2</v>
      </c>
      <c r="O16" s="17">
        <f t="shared" si="3"/>
        <v>7.0642994251952973E-2</v>
      </c>
      <c r="P16" s="17">
        <f t="shared" si="3"/>
        <v>7.0642994251952973E-2</v>
      </c>
      <c r="Q16" s="17">
        <f t="shared" si="3"/>
        <v>7.0642994251952973E-2</v>
      </c>
      <c r="R16" s="17">
        <f t="shared" si="3"/>
        <v>7.0642994251952973E-2</v>
      </c>
      <c r="S16" s="17">
        <f t="shared" si="3"/>
        <v>7.0642994251952973E-2</v>
      </c>
      <c r="T16" s="17">
        <f t="shared" si="3"/>
        <v>7.0642994251952973E-2</v>
      </c>
      <c r="U16" s="17">
        <f t="shared" si="3"/>
        <v>7.0642994251952973E-2</v>
      </c>
      <c r="V16" s="17">
        <f t="shared" si="3"/>
        <v>7.0642994251952973E-2</v>
      </c>
    </row>
    <row r="17" spans="1:22" x14ac:dyDescent="0.35">
      <c r="B17" s="9" t="s">
        <v>28</v>
      </c>
      <c r="C17" s="18">
        <f>SUMPRODUCT(Assumptions!$C$21:$C$24,INDEX(Assumptions!$C$35:$G$38,0,'Consumer Model'!C$6))</f>
        <v>46</v>
      </c>
      <c r="D17" s="18">
        <f>SUMPRODUCT(Assumptions!$C$21:$C$24,INDEX(Assumptions!$C$35:$G$38,0,'Consumer Model'!D$6))</f>
        <v>46</v>
      </c>
      <c r="E17" s="18">
        <f>SUMPRODUCT(Assumptions!$C$21:$C$24,INDEX(Assumptions!$C$35:$G$38,0,'Consumer Model'!E$6))</f>
        <v>46</v>
      </c>
      <c r="F17" s="18">
        <f>SUMPRODUCT(Assumptions!$C$21:$C$24,INDEX(Assumptions!$C$35:$G$38,0,'Consumer Model'!F$6))</f>
        <v>46</v>
      </c>
      <c r="G17" s="18">
        <f>SUMPRODUCT(Assumptions!$C$21:$C$24,INDEX(Assumptions!$C$35:$G$38,0,'Consumer Model'!G$6))</f>
        <v>49.375</v>
      </c>
      <c r="H17" s="18">
        <f>SUMPRODUCT(Assumptions!$C$21:$C$24,INDEX(Assumptions!$C$35:$G$38,0,'Consumer Model'!H$6))</f>
        <v>49.375</v>
      </c>
      <c r="I17" s="18">
        <f>SUMPRODUCT(Assumptions!$C$21:$C$24,INDEX(Assumptions!$C$35:$G$38,0,'Consumer Model'!I$6))</f>
        <v>49.375</v>
      </c>
      <c r="J17" s="18">
        <f>SUMPRODUCT(Assumptions!$C$21:$C$24,INDEX(Assumptions!$C$35:$G$38,0,'Consumer Model'!J$6))</f>
        <v>49.375</v>
      </c>
      <c r="K17" s="18">
        <f>SUMPRODUCT(Assumptions!$C$21:$C$24,INDEX(Assumptions!$C$35:$G$38,0,'Consumer Model'!K$6))</f>
        <v>52.75</v>
      </c>
      <c r="L17" s="18">
        <f>SUMPRODUCT(Assumptions!$C$21:$C$24,INDEX(Assumptions!$C$35:$G$38,0,'Consumer Model'!L$6))</f>
        <v>52.75</v>
      </c>
      <c r="M17" s="18">
        <f>SUMPRODUCT(Assumptions!$C$21:$C$24,INDEX(Assumptions!$C$35:$G$38,0,'Consumer Model'!M$6))</f>
        <v>52.75</v>
      </c>
      <c r="N17" s="18">
        <f>SUMPRODUCT(Assumptions!$C$21:$C$24,INDEX(Assumptions!$C$35:$G$38,0,'Consumer Model'!N$6))</f>
        <v>52.75</v>
      </c>
      <c r="O17" s="18">
        <f>SUMPRODUCT(Assumptions!$C$21:$C$24,INDEX(Assumptions!$C$35:$G$38,0,'Consumer Model'!O$6))</f>
        <v>52.75</v>
      </c>
      <c r="P17" s="18">
        <f>SUMPRODUCT(Assumptions!$C$21:$C$24,INDEX(Assumptions!$C$35:$G$38,0,'Consumer Model'!P$6))</f>
        <v>52.75</v>
      </c>
      <c r="Q17" s="18">
        <f>SUMPRODUCT(Assumptions!$C$21:$C$24,INDEX(Assumptions!$C$35:$G$38,0,'Consumer Model'!Q$6))</f>
        <v>52.75</v>
      </c>
      <c r="R17" s="18">
        <f>SUMPRODUCT(Assumptions!$C$21:$C$24,INDEX(Assumptions!$C$35:$G$38,0,'Consumer Model'!R$6))</f>
        <v>52.75</v>
      </c>
      <c r="S17" s="18">
        <f>SUMPRODUCT(Assumptions!$C$21:$C$24,INDEX(Assumptions!$C$35:$G$38,0,'Consumer Model'!S$6))</f>
        <v>52.75</v>
      </c>
      <c r="T17" s="18">
        <f>SUMPRODUCT(Assumptions!$C$21:$C$24,INDEX(Assumptions!$C$35:$G$38,0,'Consumer Model'!T$6))</f>
        <v>52.75</v>
      </c>
      <c r="U17" s="18">
        <f>SUMPRODUCT(Assumptions!$C$21:$C$24,INDEX(Assumptions!$C$35:$G$38,0,'Consumer Model'!U$6))</f>
        <v>52.75</v>
      </c>
      <c r="V17" s="18">
        <f>SUMPRODUCT(Assumptions!$C$21:$C$24,INDEX(Assumptions!$C$35:$G$38,0,'Consumer Model'!V$6))</f>
        <v>52.75</v>
      </c>
    </row>
    <row r="18" spans="1:22" x14ac:dyDescent="0.35">
      <c r="B18" s="9" t="s">
        <v>177</v>
      </c>
      <c r="C18" s="16">
        <f>SUMPRODUCT(Assumptions!$D$21:$D$24,INDEX(Assumptions!$C$35:$G$38,0,'Consumer Model'!C$6))</f>
        <v>1890</v>
      </c>
      <c r="D18" s="16">
        <f>SUMPRODUCT(Assumptions!$D$21:$D$24,INDEX(Assumptions!$C$35:$G$38,0,'Consumer Model'!D$6))</f>
        <v>1890</v>
      </c>
      <c r="E18" s="16">
        <f>SUMPRODUCT(Assumptions!$D$21:$D$24,INDEX(Assumptions!$C$35:$G$38,0,'Consumer Model'!E$6))</f>
        <v>1890</v>
      </c>
      <c r="F18" s="16">
        <f>SUMPRODUCT(Assumptions!$D$21:$D$24,INDEX(Assumptions!$C$35:$G$38,0,'Consumer Model'!F$6))</f>
        <v>1890</v>
      </c>
      <c r="G18" s="16">
        <f>SUMPRODUCT(Assumptions!$D$21:$D$24,INDEX(Assumptions!$C$35:$G$38,0,'Consumer Model'!G$6))</f>
        <v>2133.75</v>
      </c>
      <c r="H18" s="16">
        <f>SUMPRODUCT(Assumptions!$D$21:$D$24,INDEX(Assumptions!$C$35:$G$38,0,'Consumer Model'!H$6))</f>
        <v>2133.75</v>
      </c>
      <c r="I18" s="16">
        <f>SUMPRODUCT(Assumptions!$D$21:$D$24,INDEX(Assumptions!$C$35:$G$38,0,'Consumer Model'!I$6))</f>
        <v>2133.75</v>
      </c>
      <c r="J18" s="16">
        <f>SUMPRODUCT(Assumptions!$D$21:$D$24,INDEX(Assumptions!$C$35:$G$38,0,'Consumer Model'!J$6))</f>
        <v>2133.75</v>
      </c>
      <c r="K18" s="16">
        <f>SUMPRODUCT(Assumptions!$D$21:$D$24,INDEX(Assumptions!$C$35:$G$38,0,'Consumer Model'!K$6))</f>
        <v>2377.5</v>
      </c>
      <c r="L18" s="16">
        <f>SUMPRODUCT(Assumptions!$D$21:$D$24,INDEX(Assumptions!$C$35:$G$38,0,'Consumer Model'!L$6))</f>
        <v>2377.5</v>
      </c>
      <c r="M18" s="16">
        <f>SUMPRODUCT(Assumptions!$D$21:$D$24,INDEX(Assumptions!$C$35:$G$38,0,'Consumer Model'!M$6))</f>
        <v>2377.5</v>
      </c>
      <c r="N18" s="16">
        <f>SUMPRODUCT(Assumptions!$D$21:$D$24,INDEX(Assumptions!$C$35:$G$38,0,'Consumer Model'!N$6))</f>
        <v>2377.5</v>
      </c>
      <c r="O18" s="16">
        <f>SUMPRODUCT(Assumptions!$D$21:$D$24,INDEX(Assumptions!$C$35:$G$38,0,'Consumer Model'!O$6))</f>
        <v>2377.5</v>
      </c>
      <c r="P18" s="16">
        <f>SUMPRODUCT(Assumptions!$D$21:$D$24,INDEX(Assumptions!$C$35:$G$38,0,'Consumer Model'!P$6))</f>
        <v>2377.5</v>
      </c>
      <c r="Q18" s="16">
        <f>SUMPRODUCT(Assumptions!$D$21:$D$24,INDEX(Assumptions!$C$35:$G$38,0,'Consumer Model'!Q$6))</f>
        <v>2377.5</v>
      </c>
      <c r="R18" s="16">
        <f>SUMPRODUCT(Assumptions!$D$21:$D$24,INDEX(Assumptions!$C$35:$G$38,0,'Consumer Model'!R$6))</f>
        <v>2377.5</v>
      </c>
      <c r="S18" s="16">
        <f>SUMPRODUCT(Assumptions!$D$21:$D$24,INDEX(Assumptions!$C$35:$G$38,0,'Consumer Model'!S$6))</f>
        <v>2377.5</v>
      </c>
      <c r="T18" s="16">
        <f>SUMPRODUCT(Assumptions!$D$21:$D$24,INDEX(Assumptions!$C$35:$G$38,0,'Consumer Model'!T$6))</f>
        <v>2377.5</v>
      </c>
      <c r="U18" s="16">
        <f>SUMPRODUCT(Assumptions!$D$21:$D$24,INDEX(Assumptions!$C$35:$G$38,0,'Consumer Model'!U$6))</f>
        <v>2377.5</v>
      </c>
      <c r="V18" s="16">
        <f>SUMPRODUCT(Assumptions!$D$21:$D$24,INDEX(Assumptions!$C$35:$G$38,0,'Consumer Model'!V$6))</f>
        <v>2377.5</v>
      </c>
    </row>
    <row r="19" spans="1:22" x14ac:dyDescent="0.35">
      <c r="B19" s="7" t="s">
        <v>178</v>
      </c>
      <c r="C19" s="43">
        <f t="shared" ref="C19:V19" si="4">C14*C18</f>
        <v>2625474.0424867822</v>
      </c>
      <c r="D19" s="43">
        <f t="shared" si="4"/>
        <v>4668826.4313459015</v>
      </c>
      <c r="E19" s="43">
        <f t="shared" si="4"/>
        <v>8302477.9119079188</v>
      </c>
      <c r="F19" s="43">
        <f t="shared" si="4"/>
        <v>14764125.523048799</v>
      </c>
      <c r="G19" s="43">
        <f t="shared" si="4"/>
        <v>25261278.478585117</v>
      </c>
      <c r="H19" s="43">
        <f t="shared" si="4"/>
        <v>34551932.10115736</v>
      </c>
      <c r="I19" s="43">
        <f t="shared" si="4"/>
        <v>47259524.60937579</v>
      </c>
      <c r="J19" s="43">
        <f t="shared" si="4"/>
        <v>64640745.986803554</v>
      </c>
      <c r="K19" s="43">
        <f t="shared" si="4"/>
        <v>95699311.667634949</v>
      </c>
      <c r="L19" s="43">
        <f t="shared" si="4"/>
        <v>124420460.08923163</v>
      </c>
      <c r="M19" s="43">
        <f t="shared" si="4"/>
        <v>161761360.86098409</v>
      </c>
      <c r="N19" s="43">
        <f t="shared" si="4"/>
        <v>210308962.43938738</v>
      </c>
      <c r="O19" s="43">
        <f t="shared" si="4"/>
        <v>268352398.95355895</v>
      </c>
      <c r="P19" s="43">
        <f t="shared" si="4"/>
        <v>337435277.37981701</v>
      </c>
      <c r="Q19" s="43">
        <f t="shared" si="4"/>
        <v>424302398.13171595</v>
      </c>
      <c r="R19" s="43">
        <f t="shared" si="4"/>
        <v>533532019.70545787</v>
      </c>
      <c r="S19" s="43">
        <f t="shared" si="4"/>
        <v>650604989.48987114</v>
      </c>
      <c r="T19" s="43">
        <f t="shared" si="4"/>
        <v>773704082.55762541</v>
      </c>
      <c r="U19" s="43">
        <f t="shared" si="4"/>
        <v>920094399.8841809</v>
      </c>
      <c r="V19" s="43">
        <f t="shared" si="4"/>
        <v>1094182806.8164268</v>
      </c>
    </row>
    <row r="20" spans="1:22" x14ac:dyDescent="0.35">
      <c r="B20" s="7" t="s">
        <v>179</v>
      </c>
      <c r="C20" s="15">
        <f t="shared" ref="C20:V20" si="5">C12*C18</f>
        <v>3360948.0849735644</v>
      </c>
      <c r="D20" s="15">
        <f t="shared" si="5"/>
        <v>5976704.7777182376</v>
      </c>
      <c r="E20" s="15">
        <f t="shared" si="5"/>
        <v>10628251.046097599</v>
      </c>
      <c r="F20" s="15">
        <f t="shared" si="5"/>
        <v>18900000</v>
      </c>
      <c r="G20" s="15">
        <f t="shared" si="5"/>
        <v>29185056.957170233</v>
      </c>
      <c r="H20" s="15">
        <f t="shared" si="5"/>
        <v>39918807.245144486</v>
      </c>
      <c r="I20" s="15">
        <f t="shared" si="5"/>
        <v>54600241.973607101</v>
      </c>
      <c r="J20" s="15">
        <f t="shared" si="5"/>
        <v>74681250</v>
      </c>
      <c r="K20" s="15">
        <f t="shared" si="5"/>
        <v>108186123.33526988</v>
      </c>
      <c r="L20" s="15">
        <f t="shared" si="5"/>
        <v>140654796.84319338</v>
      </c>
      <c r="M20" s="15">
        <f t="shared" si="5"/>
        <v>182867924.87877479</v>
      </c>
      <c r="N20" s="15">
        <f t="shared" si="5"/>
        <v>237750000</v>
      </c>
      <c r="O20" s="15">
        <f t="shared" si="5"/>
        <v>298954797.9071179</v>
      </c>
      <c r="P20" s="15">
        <f t="shared" si="5"/>
        <v>375915756.85251611</v>
      </c>
      <c r="Q20" s="15">
        <f t="shared" si="5"/>
        <v>472689039.41091573</v>
      </c>
      <c r="R20" s="15">
        <f t="shared" si="5"/>
        <v>594375000</v>
      </c>
      <c r="S20" s="15">
        <f t="shared" si="5"/>
        <v>706834978.97974229</v>
      </c>
      <c r="T20" s="15">
        <f t="shared" si="5"/>
        <v>840573186.13550842</v>
      </c>
      <c r="U20" s="15">
        <f t="shared" si="5"/>
        <v>999615613.63285315</v>
      </c>
      <c r="V20" s="15">
        <f t="shared" si="5"/>
        <v>1188750000</v>
      </c>
    </row>
    <row r="21" spans="1:22" x14ac:dyDescent="0.35">
      <c r="A21" s="6" t="s">
        <v>180</v>
      </c>
    </row>
    <row r="23" spans="1:22" ht="16" customHeight="1" x14ac:dyDescent="0.35">
      <c r="A23" s="4" t="s">
        <v>181</v>
      </c>
      <c r="B23" s="5"/>
      <c r="C23" s="5"/>
      <c r="D23" s="5"/>
      <c r="E23" s="5"/>
      <c r="F23" s="5"/>
      <c r="G23" s="5"/>
      <c r="H23" s="5"/>
    </row>
    <row r="24" spans="1:22" x14ac:dyDescent="0.35">
      <c r="B24" s="9" t="s">
        <v>122</v>
      </c>
      <c r="C24" s="40">
        <f>C12*INDEX(Assumptions!$C$35:$G$38,1,'Consumer Model'!C$6)</f>
        <v>1066.9676460233538</v>
      </c>
      <c r="D24" s="40">
        <f>D12*INDEX(Assumptions!$C$35:$G$38,1,'Consumer Model'!D$6)</f>
        <v>1897.3665961010277</v>
      </c>
      <c r="E24" s="40">
        <f>E12*INDEX(Assumptions!$C$35:$G$38,1,'Consumer Model'!E$6)</f>
        <v>3374.0479511420949</v>
      </c>
      <c r="F24" s="40">
        <f>F12*INDEX(Assumptions!$C$35:$G$38,1,'Consumer Model'!F$6)</f>
        <v>6000</v>
      </c>
      <c r="G24" s="40">
        <f>G12*INDEX(Assumptions!$C$35:$G$38,1,'Consumer Model'!G$6)</f>
        <v>6496.9663993700578</v>
      </c>
      <c r="H24" s="40">
        <f>H12*INDEX(Assumptions!$C$35:$G$38,1,'Consumer Model'!H$6)</f>
        <v>8886.436293588109</v>
      </c>
      <c r="I24" s="40">
        <f>I12*INDEX(Assumptions!$C$35:$G$38,1,'Consumer Model'!I$6)</f>
        <v>12154.711159912535</v>
      </c>
      <c r="J24" s="40">
        <f>J12*INDEX(Assumptions!$C$35:$G$38,1,'Consumer Model'!J$6)</f>
        <v>16625</v>
      </c>
      <c r="K24" s="40">
        <f>K12*INDEX(Assumptions!$C$35:$G$38,1,'Consumer Model'!K$6)</f>
        <v>15926.453487842044</v>
      </c>
      <c r="L24" s="40">
        <f>L12*INDEX(Assumptions!$C$35:$G$38,1,'Consumer Model'!L$6)</f>
        <v>20706.279240848657</v>
      </c>
      <c r="M24" s="40">
        <f>M12*INDEX(Assumptions!$C$35:$G$38,1,'Consumer Model'!M$6)</f>
        <v>26920.61985597105</v>
      </c>
      <c r="N24" s="40">
        <f>N12*INDEX(Assumptions!$C$35:$G$38,1,'Consumer Model'!N$6)</f>
        <v>35000</v>
      </c>
      <c r="O24" s="40">
        <f>O12*INDEX(Assumptions!$C$35:$G$38,1,'Consumer Model'!O$6)</f>
        <v>44010.170038902739</v>
      </c>
      <c r="P24" s="40">
        <f>P12*INDEX(Assumptions!$C$35:$G$38,1,'Consumer Model'!P$6)</f>
        <v>55339.859052946638</v>
      </c>
      <c r="Q24" s="40">
        <f>Q12*INDEX(Assumptions!$C$35:$G$38,1,'Consumer Model'!Q$6)</f>
        <v>69586.188767116924</v>
      </c>
      <c r="R24" s="40">
        <f>R12*INDEX(Assumptions!$C$35:$G$38,1,'Consumer Model'!R$6)</f>
        <v>87500</v>
      </c>
      <c r="S24" s="40">
        <f>S12*INDEX(Assumptions!$C$35:$G$38,1,'Consumer Model'!S$6)</f>
        <v>104055.62256273809</v>
      </c>
      <c r="T24" s="40">
        <f>T12*INDEX(Assumptions!$C$35:$G$38,1,'Consumer Model'!T$6)</f>
        <v>123743.68670764581</v>
      </c>
      <c r="U24" s="40">
        <f>U12*INDEX(Assumptions!$C$35:$G$38,1,'Consumer Model'!U$6)</f>
        <v>147156.87266940004</v>
      </c>
      <c r="V24" s="40">
        <f>V12*INDEX(Assumptions!$C$35:$G$38,1,'Consumer Model'!V$6)</f>
        <v>175000</v>
      </c>
    </row>
    <row r="25" spans="1:22" x14ac:dyDescent="0.35">
      <c r="B25" s="9" t="s">
        <v>123</v>
      </c>
      <c r="C25" s="40">
        <f>C12*INDEX(Assumptions!$C$35:$G$38,2,'Consumer Model'!C$6)</f>
        <v>533.48382301167692</v>
      </c>
      <c r="D25" s="40">
        <f>D12*INDEX(Assumptions!$C$35:$G$38,2,'Consumer Model'!D$6)</f>
        <v>948.68329805051383</v>
      </c>
      <c r="E25" s="40">
        <f>E12*INDEX(Assumptions!$C$35:$G$38,2,'Consumer Model'!E$6)</f>
        <v>1687.0239755710475</v>
      </c>
      <c r="F25" s="40">
        <f>F12*INDEX(Assumptions!$C$35:$G$38,2,'Consumer Model'!F$6)</f>
        <v>3000</v>
      </c>
      <c r="G25" s="40">
        <f>G12*INDEX(Assumptions!$C$35:$G$38,2,'Consumer Model'!G$6)</f>
        <v>5129.1839995026776</v>
      </c>
      <c r="H25" s="40">
        <f>H12*INDEX(Assumptions!$C$35:$G$38,2,'Consumer Model'!H$6)</f>
        <v>7015.6076002011396</v>
      </c>
      <c r="I25" s="40">
        <f>I12*INDEX(Assumptions!$C$35:$G$38,2,'Consumer Model'!I$6)</f>
        <v>9595.8245999309493</v>
      </c>
      <c r="J25" s="40">
        <f>J12*INDEX(Assumptions!$C$35:$G$38,2,'Consumer Model'!J$6)</f>
        <v>13125</v>
      </c>
      <c r="K25" s="40">
        <f>K12*INDEX(Assumptions!$C$35:$G$38,2,'Consumer Model'!K$6)</f>
        <v>20476.86877008263</v>
      </c>
      <c r="L25" s="40">
        <f>L12*INDEX(Assumptions!$C$35:$G$38,2,'Consumer Model'!L$6)</f>
        <v>26622.359023948273</v>
      </c>
      <c r="M25" s="40">
        <f>M12*INDEX(Assumptions!$C$35:$G$38,2,'Consumer Model'!M$6)</f>
        <v>34612.225529105635</v>
      </c>
      <c r="N25" s="40">
        <f>N12*INDEX(Assumptions!$C$35:$G$38,2,'Consumer Model'!N$6)</f>
        <v>45000</v>
      </c>
      <c r="O25" s="40">
        <f>O12*INDEX(Assumptions!$C$35:$G$38,2,'Consumer Model'!O$6)</f>
        <v>56584.504335732097</v>
      </c>
      <c r="P25" s="40">
        <f>P12*INDEX(Assumptions!$C$35:$G$38,2,'Consumer Model'!P$6)</f>
        <v>71151.247353788538</v>
      </c>
      <c r="Q25" s="40">
        <f>Q12*INDEX(Assumptions!$C$35:$G$38,2,'Consumer Model'!Q$6)</f>
        <v>89467.956986293197</v>
      </c>
      <c r="R25" s="40">
        <f>R12*INDEX(Assumptions!$C$35:$G$38,2,'Consumer Model'!R$6)</f>
        <v>112500</v>
      </c>
      <c r="S25" s="40">
        <f>S12*INDEX(Assumptions!$C$35:$G$38,2,'Consumer Model'!S$6)</f>
        <v>133785.80043780612</v>
      </c>
      <c r="T25" s="40">
        <f>T12*INDEX(Assumptions!$C$35:$G$38,2,'Consumer Model'!T$6)</f>
        <v>159099.02576697321</v>
      </c>
      <c r="U25" s="40">
        <f>U12*INDEX(Assumptions!$C$35:$G$38,2,'Consumer Model'!U$6)</f>
        <v>189201.69343208577</v>
      </c>
      <c r="V25" s="40">
        <f>V12*INDEX(Assumptions!$C$35:$G$38,2,'Consumer Model'!V$6)</f>
        <v>225000</v>
      </c>
    </row>
    <row r="26" spans="1:22" x14ac:dyDescent="0.35">
      <c r="B26" s="9" t="s">
        <v>124</v>
      </c>
      <c r="C26" s="40">
        <f>C12*INDEX(Assumptions!$C$35:$G$38,3,'Consumer Model'!C$6)</f>
        <v>0</v>
      </c>
      <c r="D26" s="40">
        <f>D12*INDEX(Assumptions!$C$35:$G$38,3,'Consumer Model'!D$6)</f>
        <v>0</v>
      </c>
      <c r="E26" s="40">
        <f>E12*INDEX(Assumptions!$C$35:$G$38,3,'Consumer Model'!E$6)</f>
        <v>0</v>
      </c>
      <c r="F26" s="40">
        <f>F12*INDEX(Assumptions!$C$35:$G$38,3,'Consumer Model'!F$6)</f>
        <v>0</v>
      </c>
      <c r="G26" s="40">
        <f>G12*INDEX(Assumptions!$C$35:$G$38,3,'Consumer Model'!G$6)</f>
        <v>1025.8367999005354</v>
      </c>
      <c r="H26" s="40">
        <f>H12*INDEX(Assumptions!$C$35:$G$38,3,'Consumer Model'!H$6)</f>
        <v>1403.1215200402278</v>
      </c>
      <c r="I26" s="40">
        <f>I12*INDEX(Assumptions!$C$35:$G$38,3,'Consumer Model'!I$6)</f>
        <v>1919.1649199861897</v>
      </c>
      <c r="J26" s="40">
        <f>J12*INDEX(Assumptions!$C$35:$G$38,3,'Consumer Model'!J$6)</f>
        <v>2625</v>
      </c>
      <c r="K26" s="40">
        <f>K12*INDEX(Assumptions!$C$35:$G$38,3,'Consumer Model'!K$6)</f>
        <v>6825.6229233608765</v>
      </c>
      <c r="L26" s="40">
        <f>L12*INDEX(Assumptions!$C$35:$G$38,3,'Consumer Model'!L$6)</f>
        <v>8874.1196746494243</v>
      </c>
      <c r="M26" s="40">
        <f>M12*INDEX(Assumptions!$C$35:$G$38,3,'Consumer Model'!M$6)</f>
        <v>11537.408509701878</v>
      </c>
      <c r="N26" s="40">
        <f>N12*INDEX(Assumptions!$C$35:$G$38,3,'Consumer Model'!N$6)</f>
        <v>15000</v>
      </c>
      <c r="O26" s="40">
        <f>O12*INDEX(Assumptions!$C$35:$G$38,3,'Consumer Model'!O$6)</f>
        <v>18861.501445244034</v>
      </c>
      <c r="P26" s="40">
        <f>P12*INDEX(Assumptions!$C$35:$G$38,3,'Consumer Model'!P$6)</f>
        <v>23717.082451262846</v>
      </c>
      <c r="Q26" s="40">
        <f>Q12*INDEX(Assumptions!$C$35:$G$38,3,'Consumer Model'!Q$6)</f>
        <v>29822.652328764398</v>
      </c>
      <c r="R26" s="40">
        <f>R12*INDEX(Assumptions!$C$35:$G$38,3,'Consumer Model'!R$6)</f>
        <v>37500</v>
      </c>
      <c r="S26" s="40">
        <f>S12*INDEX(Assumptions!$C$35:$G$38,3,'Consumer Model'!S$6)</f>
        <v>44595.266812602036</v>
      </c>
      <c r="T26" s="40">
        <f>T12*INDEX(Assumptions!$C$35:$G$38,3,'Consumer Model'!T$6)</f>
        <v>53033.00858899107</v>
      </c>
      <c r="U26" s="40">
        <f>U12*INDEX(Assumptions!$C$35:$G$38,3,'Consumer Model'!U$6)</f>
        <v>63067.231144028585</v>
      </c>
      <c r="V26" s="40">
        <f>V12*INDEX(Assumptions!$C$35:$G$38,3,'Consumer Model'!V$6)</f>
        <v>75000</v>
      </c>
    </row>
    <row r="27" spans="1:22" x14ac:dyDescent="0.35">
      <c r="B27" s="9" t="s">
        <v>125</v>
      </c>
      <c r="C27" s="40">
        <f>C12*INDEX(Assumptions!$C$35:$G$38,4,'Consumer Model'!C$6)</f>
        <v>177.82794100389231</v>
      </c>
      <c r="D27" s="40">
        <f>D12*INDEX(Assumptions!$C$35:$G$38,4,'Consumer Model'!D$6)</f>
        <v>316.22776601683796</v>
      </c>
      <c r="E27" s="40">
        <f>E12*INDEX(Assumptions!$C$35:$G$38,4,'Consumer Model'!E$6)</f>
        <v>562.34132519034927</v>
      </c>
      <c r="F27" s="40">
        <f>F12*INDEX(Assumptions!$C$35:$G$38,4,'Consumer Model'!F$6)</f>
        <v>1000</v>
      </c>
      <c r="G27" s="40">
        <f>G12*INDEX(Assumptions!$C$35:$G$38,4,'Consumer Model'!G$6)</f>
        <v>1025.8367999005354</v>
      </c>
      <c r="H27" s="40">
        <f>H12*INDEX(Assumptions!$C$35:$G$38,4,'Consumer Model'!H$6)</f>
        <v>1403.1215200402278</v>
      </c>
      <c r="I27" s="40">
        <f>I12*INDEX(Assumptions!$C$35:$G$38,4,'Consumer Model'!I$6)</f>
        <v>1919.1649199861897</v>
      </c>
      <c r="J27" s="40">
        <f>J12*INDEX(Assumptions!$C$35:$G$38,4,'Consumer Model'!J$6)</f>
        <v>2625</v>
      </c>
      <c r="K27" s="40">
        <f>K12*INDEX(Assumptions!$C$35:$G$38,4,'Consumer Model'!K$6)</f>
        <v>2275.207641120292</v>
      </c>
      <c r="L27" s="40">
        <f>L12*INDEX(Assumptions!$C$35:$G$38,4,'Consumer Model'!L$6)</f>
        <v>2958.0398915498081</v>
      </c>
      <c r="M27" s="40">
        <f>M12*INDEX(Assumptions!$C$35:$G$38,4,'Consumer Model'!M$6)</f>
        <v>3845.8028365672931</v>
      </c>
      <c r="N27" s="40">
        <f>N12*INDEX(Assumptions!$C$35:$G$38,4,'Consumer Model'!N$6)</f>
        <v>5000</v>
      </c>
      <c r="O27" s="40">
        <f>O12*INDEX(Assumptions!$C$35:$G$38,4,'Consumer Model'!O$6)</f>
        <v>6287.1671484146782</v>
      </c>
      <c r="P27" s="40">
        <f>P12*INDEX(Assumptions!$C$35:$G$38,4,'Consumer Model'!P$6)</f>
        <v>7905.6941504209499</v>
      </c>
      <c r="Q27" s="40">
        <f>Q12*INDEX(Assumptions!$C$35:$G$38,4,'Consumer Model'!Q$6)</f>
        <v>9940.8841095881344</v>
      </c>
      <c r="R27" s="40">
        <f>R12*INDEX(Assumptions!$C$35:$G$38,4,'Consumer Model'!R$6)</f>
        <v>12500</v>
      </c>
      <c r="S27" s="40">
        <f>S12*INDEX(Assumptions!$C$35:$G$38,4,'Consumer Model'!S$6)</f>
        <v>14865.088937534014</v>
      </c>
      <c r="T27" s="40">
        <f>T12*INDEX(Assumptions!$C$35:$G$38,4,'Consumer Model'!T$6)</f>
        <v>17677.66952966369</v>
      </c>
      <c r="U27" s="40">
        <f>U12*INDEX(Assumptions!$C$35:$G$38,4,'Consumer Model'!U$6)</f>
        <v>21022.410381342866</v>
      </c>
      <c r="V27" s="40">
        <f>V12*INDEX(Assumptions!$C$35:$G$38,4,'Consumer Model'!V$6)</f>
        <v>25000</v>
      </c>
    </row>
    <row r="29" spans="1:22" ht="16" customHeight="1" x14ac:dyDescent="0.35">
      <c r="A29" s="4" t="s">
        <v>182</v>
      </c>
      <c r="B29" s="5"/>
      <c r="C29" s="5"/>
      <c r="D29" s="5"/>
      <c r="E29" s="5"/>
      <c r="F29" s="5"/>
      <c r="G29" s="5"/>
      <c r="H29" s="5"/>
    </row>
    <row r="30" spans="1:22" x14ac:dyDescent="0.35">
      <c r="B30" s="9" t="s">
        <v>122</v>
      </c>
      <c r="C30" s="40">
        <f>C14*INDEX(Assumptions!$C$35:$G$38,1,'Consumer Model'!C$6)</f>
        <v>833.4838230116768</v>
      </c>
      <c r="D30" s="40">
        <f>D14*INDEX(Assumptions!$C$35:$G$38,1,'Consumer Model'!D$6)</f>
        <v>1482.1671210621907</v>
      </c>
      <c r="E30" s="40">
        <f>E14*INDEX(Assumptions!$C$35:$G$38,1,'Consumer Model'!E$6)</f>
        <v>2635.7072736215614</v>
      </c>
      <c r="F30" s="40">
        <f>F14*INDEX(Assumptions!$C$35:$G$38,1,'Consumer Model'!F$6)</f>
        <v>4687.0239755710472</v>
      </c>
      <c r="G30" s="40">
        <f>G14*INDEX(Assumptions!$C$35:$G$38,1,'Consumer Model'!G$6)</f>
        <v>5623.483199685028</v>
      </c>
      <c r="H30" s="40">
        <f>H14*INDEX(Assumptions!$C$35:$G$38,1,'Consumer Model'!H$6)</f>
        <v>7691.7013464790834</v>
      </c>
      <c r="I30" s="40">
        <f>I14*INDEX(Assumptions!$C$35:$G$38,1,'Consumer Model'!I$6)</f>
        <v>10520.573726750323</v>
      </c>
      <c r="J30" s="40">
        <f>J14*INDEX(Assumptions!$C$35:$G$38,1,'Consumer Model'!J$6)</f>
        <v>14389.855579956267</v>
      </c>
      <c r="K30" s="40">
        <f>K14*INDEX(Assumptions!$C$35:$G$38,1,'Consumer Model'!K$6)</f>
        <v>14088.226743921021</v>
      </c>
      <c r="L30" s="40">
        <f>L14*INDEX(Assumptions!$C$35:$G$38,1,'Consumer Model'!L$6)</f>
        <v>18316.366364345351</v>
      </c>
      <c r="M30" s="40">
        <f>M14*INDEX(Assumptions!$C$35:$G$38,1,'Consumer Model'!M$6)</f>
        <v>23813.449548409852</v>
      </c>
      <c r="N30" s="40">
        <f>N14*INDEX(Assumptions!$C$35:$G$38,1,'Consumer Model'!N$6)</f>
        <v>30960.309927985523</v>
      </c>
      <c r="O30" s="40">
        <f>O14*INDEX(Assumptions!$C$35:$G$38,1,'Consumer Model'!O$6)</f>
        <v>39505.08501945137</v>
      </c>
      <c r="P30" s="40">
        <f>P14*INDEX(Assumptions!$C$35:$G$38,1,'Consumer Model'!P$6)</f>
        <v>49675.014545924692</v>
      </c>
      <c r="Q30" s="40">
        <f>Q14*INDEX(Assumptions!$C$35:$G$38,1,'Consumer Model'!Q$6)</f>
        <v>62463.023910031792</v>
      </c>
      <c r="R30" s="40">
        <f>R14*INDEX(Assumptions!$C$35:$G$38,1,'Consumer Model'!R$6)</f>
        <v>78543.094383558462</v>
      </c>
      <c r="S30" s="40">
        <f>S14*INDEX(Assumptions!$C$35:$G$38,1,'Consumer Model'!S$6)</f>
        <v>95777.811281369039</v>
      </c>
      <c r="T30" s="40">
        <f>T14*INDEX(Assumptions!$C$35:$G$38,1,'Consumer Model'!T$6)</f>
        <v>113899.65463519195</v>
      </c>
      <c r="U30" s="40">
        <f>U14*INDEX(Assumptions!$C$35:$G$38,1,'Consumer Model'!U$6)</f>
        <v>135450.27968852295</v>
      </c>
      <c r="V30" s="40">
        <f>V14*INDEX(Assumptions!$C$35:$G$38,1,'Consumer Model'!V$6)</f>
        <v>161078.43633470003</v>
      </c>
    </row>
    <row r="31" spans="1:22" x14ac:dyDescent="0.35">
      <c r="B31" s="9" t="s">
        <v>123</v>
      </c>
      <c r="C31" s="40">
        <f>C14*INDEX(Assumptions!$C$35:$G$38,2,'Consumer Model'!C$6)</f>
        <v>416.7419115058384</v>
      </c>
      <c r="D31" s="40">
        <f>D14*INDEX(Assumptions!$C$35:$G$38,2,'Consumer Model'!D$6)</f>
        <v>741.08356053109537</v>
      </c>
      <c r="E31" s="40">
        <f>E14*INDEX(Assumptions!$C$35:$G$38,2,'Consumer Model'!E$6)</f>
        <v>1317.8536368107807</v>
      </c>
      <c r="F31" s="40">
        <f>F14*INDEX(Assumptions!$C$35:$G$38,2,'Consumer Model'!F$6)</f>
        <v>2343.5119877855236</v>
      </c>
      <c r="G31" s="40">
        <f>G14*INDEX(Assumptions!$C$35:$G$38,2,'Consumer Model'!G$6)</f>
        <v>4439.5919997513383</v>
      </c>
      <c r="H31" s="40">
        <f>H14*INDEX(Assumptions!$C$35:$G$38,2,'Consumer Model'!H$6)</f>
        <v>6072.3957998519081</v>
      </c>
      <c r="I31" s="40">
        <f>I14*INDEX(Assumptions!$C$35:$G$38,2,'Consumer Model'!I$6)</f>
        <v>8305.7161000660453</v>
      </c>
      <c r="J31" s="40">
        <f>J14*INDEX(Assumptions!$C$35:$G$38,2,'Consumer Model'!J$6)</f>
        <v>11360.412299965476</v>
      </c>
      <c r="K31" s="40">
        <f>K14*INDEX(Assumptions!$C$35:$G$38,2,'Consumer Model'!K$6)</f>
        <v>18113.434385041313</v>
      </c>
      <c r="L31" s="40">
        <f>L14*INDEX(Assumptions!$C$35:$G$38,2,'Consumer Model'!L$6)</f>
        <v>23549.61389701545</v>
      </c>
      <c r="M31" s="40">
        <f>M14*INDEX(Assumptions!$C$35:$G$38,2,'Consumer Model'!M$6)</f>
        <v>30617.292276526954</v>
      </c>
      <c r="N31" s="40">
        <f>N14*INDEX(Assumptions!$C$35:$G$38,2,'Consumer Model'!N$6)</f>
        <v>39806.112764552818</v>
      </c>
      <c r="O31" s="40">
        <f>O14*INDEX(Assumptions!$C$35:$G$38,2,'Consumer Model'!O$6)</f>
        <v>50792.252167866049</v>
      </c>
      <c r="P31" s="40">
        <f>P14*INDEX(Assumptions!$C$35:$G$38,2,'Consumer Model'!P$6)</f>
        <v>63867.875844760325</v>
      </c>
      <c r="Q31" s="40">
        <f>Q14*INDEX(Assumptions!$C$35:$G$38,2,'Consumer Model'!Q$6)</f>
        <v>80309.602170040875</v>
      </c>
      <c r="R31" s="40">
        <f>R14*INDEX(Assumptions!$C$35:$G$38,2,'Consumer Model'!R$6)</f>
        <v>100983.9784931466</v>
      </c>
      <c r="S31" s="40">
        <f>S14*INDEX(Assumptions!$C$35:$G$38,2,'Consumer Model'!S$6)</f>
        <v>123142.90021890306</v>
      </c>
      <c r="T31" s="40">
        <f>T14*INDEX(Assumptions!$C$35:$G$38,2,'Consumer Model'!T$6)</f>
        <v>146442.41310238966</v>
      </c>
      <c r="U31" s="40">
        <f>U14*INDEX(Assumptions!$C$35:$G$38,2,'Consumer Model'!U$6)</f>
        <v>174150.3595995295</v>
      </c>
      <c r="V31" s="40">
        <f>V14*INDEX(Assumptions!$C$35:$G$38,2,'Consumer Model'!V$6)</f>
        <v>207100.8467160429</v>
      </c>
    </row>
    <row r="32" spans="1:22" x14ac:dyDescent="0.35">
      <c r="B32" s="9" t="s">
        <v>124</v>
      </c>
      <c r="C32" s="40">
        <f>C14*INDEX(Assumptions!$C$35:$G$38,3,'Consumer Model'!C$6)</f>
        <v>0</v>
      </c>
      <c r="D32" s="40">
        <f>D14*INDEX(Assumptions!$C$35:$G$38,3,'Consumer Model'!D$6)</f>
        <v>0</v>
      </c>
      <c r="E32" s="40">
        <f>E14*INDEX(Assumptions!$C$35:$G$38,3,'Consumer Model'!E$6)</f>
        <v>0</v>
      </c>
      <c r="F32" s="40">
        <f>F14*INDEX(Assumptions!$C$35:$G$38,3,'Consumer Model'!F$6)</f>
        <v>0</v>
      </c>
      <c r="G32" s="40">
        <f>G14*INDEX(Assumptions!$C$35:$G$38,3,'Consumer Model'!G$6)</f>
        <v>887.9183999502676</v>
      </c>
      <c r="H32" s="40">
        <f>H14*INDEX(Assumptions!$C$35:$G$38,3,'Consumer Model'!H$6)</f>
        <v>1214.4791599703815</v>
      </c>
      <c r="I32" s="40">
        <f>I14*INDEX(Assumptions!$C$35:$G$38,3,'Consumer Model'!I$6)</f>
        <v>1661.1432200132087</v>
      </c>
      <c r="J32" s="40">
        <f>J14*INDEX(Assumptions!$C$35:$G$38,3,'Consumer Model'!J$6)</f>
        <v>2272.0824599930947</v>
      </c>
      <c r="K32" s="40">
        <f>K14*INDEX(Assumptions!$C$35:$G$38,3,'Consumer Model'!K$6)</f>
        <v>6037.8114616804378</v>
      </c>
      <c r="L32" s="40">
        <f>L14*INDEX(Assumptions!$C$35:$G$38,3,'Consumer Model'!L$6)</f>
        <v>7849.8712990051499</v>
      </c>
      <c r="M32" s="40">
        <f>M14*INDEX(Assumptions!$C$35:$G$38,3,'Consumer Model'!M$6)</f>
        <v>10205.764092175652</v>
      </c>
      <c r="N32" s="40">
        <f>N14*INDEX(Assumptions!$C$35:$G$38,3,'Consumer Model'!N$6)</f>
        <v>13268.70425485094</v>
      </c>
      <c r="O32" s="40">
        <f>O14*INDEX(Assumptions!$C$35:$G$38,3,'Consumer Model'!O$6)</f>
        <v>16930.750722622015</v>
      </c>
      <c r="P32" s="40">
        <f>P14*INDEX(Assumptions!$C$35:$G$38,3,'Consumer Model'!P$6)</f>
        <v>21289.291948253438</v>
      </c>
      <c r="Q32" s="40">
        <f>Q14*INDEX(Assumptions!$C$35:$G$38,3,'Consumer Model'!Q$6)</f>
        <v>26769.867390013624</v>
      </c>
      <c r="R32" s="40">
        <f>R14*INDEX(Assumptions!$C$35:$G$38,3,'Consumer Model'!R$6)</f>
        <v>33661.326164382197</v>
      </c>
      <c r="S32" s="40">
        <f>S14*INDEX(Assumptions!$C$35:$G$38,3,'Consumer Model'!S$6)</f>
        <v>41047.633406301022</v>
      </c>
      <c r="T32" s="40">
        <f>T14*INDEX(Assumptions!$C$35:$G$38,3,'Consumer Model'!T$6)</f>
        <v>48814.137700796557</v>
      </c>
      <c r="U32" s="40">
        <f>U14*INDEX(Assumptions!$C$35:$G$38,3,'Consumer Model'!U$6)</f>
        <v>58050.119866509835</v>
      </c>
      <c r="V32" s="40">
        <f>V14*INDEX(Assumptions!$C$35:$G$38,3,'Consumer Model'!V$6)</f>
        <v>69033.6155720143</v>
      </c>
    </row>
    <row r="33" spans="2:22" x14ac:dyDescent="0.35">
      <c r="B33" s="9" t="s">
        <v>125</v>
      </c>
      <c r="C33" s="40">
        <f>C14*INDEX(Assumptions!$C$35:$G$38,4,'Consumer Model'!C$6)</f>
        <v>138.91397050194615</v>
      </c>
      <c r="D33" s="40">
        <f>D14*INDEX(Assumptions!$C$35:$G$38,4,'Consumer Model'!D$6)</f>
        <v>247.02785351036516</v>
      </c>
      <c r="E33" s="40">
        <f>E14*INDEX(Assumptions!$C$35:$G$38,4,'Consumer Model'!E$6)</f>
        <v>439.28454560359364</v>
      </c>
      <c r="F33" s="40">
        <f>F14*INDEX(Assumptions!$C$35:$G$38,4,'Consumer Model'!F$6)</f>
        <v>781.17066259517469</v>
      </c>
      <c r="G33" s="40">
        <f>G14*INDEX(Assumptions!$C$35:$G$38,4,'Consumer Model'!G$6)</f>
        <v>887.9183999502676</v>
      </c>
      <c r="H33" s="40">
        <f>H14*INDEX(Assumptions!$C$35:$G$38,4,'Consumer Model'!H$6)</f>
        <v>1214.4791599703815</v>
      </c>
      <c r="I33" s="40">
        <f>I14*INDEX(Assumptions!$C$35:$G$38,4,'Consumer Model'!I$6)</f>
        <v>1661.1432200132087</v>
      </c>
      <c r="J33" s="40">
        <f>J14*INDEX(Assumptions!$C$35:$G$38,4,'Consumer Model'!J$6)</f>
        <v>2272.0824599930947</v>
      </c>
      <c r="K33" s="40">
        <f>K14*INDEX(Assumptions!$C$35:$G$38,4,'Consumer Model'!K$6)</f>
        <v>2012.6038205601462</v>
      </c>
      <c r="L33" s="40">
        <f>L14*INDEX(Assumptions!$C$35:$G$38,4,'Consumer Model'!L$6)</f>
        <v>2616.6237663350503</v>
      </c>
      <c r="M33" s="40">
        <f>M14*INDEX(Assumptions!$C$35:$G$38,4,'Consumer Model'!M$6)</f>
        <v>3401.9213640585508</v>
      </c>
      <c r="N33" s="40">
        <f>N14*INDEX(Assumptions!$C$35:$G$38,4,'Consumer Model'!N$6)</f>
        <v>4422.9014182836463</v>
      </c>
      <c r="O33" s="40">
        <f>O14*INDEX(Assumptions!$C$35:$G$38,4,'Consumer Model'!O$6)</f>
        <v>5643.5835742073396</v>
      </c>
      <c r="P33" s="40">
        <f>P14*INDEX(Assumptions!$C$35:$G$38,4,'Consumer Model'!P$6)</f>
        <v>7096.4306494178136</v>
      </c>
      <c r="Q33" s="40">
        <f>Q14*INDEX(Assumptions!$C$35:$G$38,4,'Consumer Model'!Q$6)</f>
        <v>8923.289130004543</v>
      </c>
      <c r="R33" s="40">
        <f>R14*INDEX(Assumptions!$C$35:$G$38,4,'Consumer Model'!R$6)</f>
        <v>11220.442054794068</v>
      </c>
      <c r="S33" s="40">
        <f>S14*INDEX(Assumptions!$C$35:$G$38,4,'Consumer Model'!S$6)</f>
        <v>13682.544468767008</v>
      </c>
      <c r="T33" s="40">
        <f>T14*INDEX(Assumptions!$C$35:$G$38,4,'Consumer Model'!T$6)</f>
        <v>16271.379233598853</v>
      </c>
      <c r="U33" s="40">
        <f>U14*INDEX(Assumptions!$C$35:$G$38,4,'Consumer Model'!U$6)</f>
        <v>19350.039955503278</v>
      </c>
      <c r="V33" s="40">
        <f>V14*INDEX(Assumptions!$C$35:$G$38,4,'Consumer Model'!V$6)</f>
        <v>23011.205190671433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5"/>
  <sheetViews>
    <sheetView showGridLines="0" workbookViewId="0"/>
  </sheetViews>
  <sheetFormatPr defaultRowHeight="14.5" x14ac:dyDescent="0.35"/>
  <cols>
    <col min="1" max="1" width="3" customWidth="1"/>
    <col min="2" max="2" width="46" customWidth="1"/>
    <col min="3" max="22" width="12" customWidth="1"/>
  </cols>
  <sheetData>
    <row r="1" spans="1:22" ht="22" customHeight="1" x14ac:dyDescent="0.45">
      <c r="A1" s="1" t="s">
        <v>183</v>
      </c>
      <c r="B1" s="2"/>
      <c r="C1" s="2"/>
      <c r="D1" s="2"/>
      <c r="E1" s="2"/>
      <c r="F1" s="2"/>
      <c r="G1" s="2"/>
      <c r="H1" s="2"/>
    </row>
    <row r="2" spans="1:22" x14ac:dyDescent="0.35">
      <c r="A2" s="6" t="s">
        <v>184</v>
      </c>
    </row>
    <row r="5" spans="1:22" x14ac:dyDescent="0.35">
      <c r="B5" s="13" t="s">
        <v>146</v>
      </c>
      <c r="C5" s="39">
        <v>1</v>
      </c>
      <c r="D5" s="39">
        <v>2</v>
      </c>
      <c r="E5" s="39">
        <v>3</v>
      </c>
      <c r="F5" s="39">
        <v>4</v>
      </c>
      <c r="G5" s="39">
        <v>5</v>
      </c>
      <c r="H5" s="39">
        <v>6</v>
      </c>
      <c r="I5" s="39">
        <v>7</v>
      </c>
      <c r="J5" s="39">
        <v>8</v>
      </c>
      <c r="K5" s="39">
        <v>9</v>
      </c>
      <c r="L5" s="39">
        <v>10</v>
      </c>
      <c r="M5" s="39">
        <v>11</v>
      </c>
      <c r="N5" s="39">
        <v>12</v>
      </c>
      <c r="O5" s="39">
        <v>13</v>
      </c>
      <c r="P5" s="39">
        <v>14</v>
      </c>
      <c r="Q5" s="39">
        <v>15</v>
      </c>
      <c r="R5" s="39">
        <v>16</v>
      </c>
      <c r="S5" s="39">
        <v>17</v>
      </c>
      <c r="T5" s="39">
        <v>18</v>
      </c>
      <c r="U5" s="39">
        <v>19</v>
      </c>
      <c r="V5" s="39">
        <v>20</v>
      </c>
    </row>
    <row r="6" spans="1:22" x14ac:dyDescent="0.35">
      <c r="B6" s="9" t="s">
        <v>147</v>
      </c>
      <c r="C6" s="40">
        <f t="shared" ref="C6:V6" si="0">INT((C5-1)/4)+1</f>
        <v>1</v>
      </c>
      <c r="D6" s="40">
        <f t="shared" si="0"/>
        <v>1</v>
      </c>
      <c r="E6" s="40">
        <f t="shared" si="0"/>
        <v>1</v>
      </c>
      <c r="F6" s="40">
        <f t="shared" si="0"/>
        <v>1</v>
      </c>
      <c r="G6" s="40">
        <f t="shared" si="0"/>
        <v>2</v>
      </c>
      <c r="H6" s="40">
        <f t="shared" si="0"/>
        <v>2</v>
      </c>
      <c r="I6" s="40">
        <f t="shared" si="0"/>
        <v>2</v>
      </c>
      <c r="J6" s="40">
        <f t="shared" si="0"/>
        <v>2</v>
      </c>
      <c r="K6" s="40">
        <f t="shared" si="0"/>
        <v>3</v>
      </c>
      <c r="L6" s="40">
        <f t="shared" si="0"/>
        <v>3</v>
      </c>
      <c r="M6" s="40">
        <f t="shared" si="0"/>
        <v>3</v>
      </c>
      <c r="N6" s="40">
        <f t="shared" si="0"/>
        <v>3</v>
      </c>
      <c r="O6" s="40">
        <f t="shared" si="0"/>
        <v>4</v>
      </c>
      <c r="P6" s="40">
        <f t="shared" si="0"/>
        <v>4</v>
      </c>
      <c r="Q6" s="40">
        <f t="shared" si="0"/>
        <v>4</v>
      </c>
      <c r="R6" s="40">
        <f t="shared" si="0"/>
        <v>4</v>
      </c>
      <c r="S6" s="40">
        <f t="shared" si="0"/>
        <v>5</v>
      </c>
      <c r="T6" s="40">
        <f t="shared" si="0"/>
        <v>5</v>
      </c>
      <c r="U6" s="40">
        <f t="shared" si="0"/>
        <v>5</v>
      </c>
      <c r="V6" s="40">
        <f t="shared" si="0"/>
        <v>5</v>
      </c>
    </row>
    <row r="7" spans="1:22" x14ac:dyDescent="0.35">
      <c r="B7" s="9" t="s">
        <v>148</v>
      </c>
      <c r="C7" s="41" t="s">
        <v>149</v>
      </c>
      <c r="D7" s="41" t="s">
        <v>150</v>
      </c>
      <c r="E7" s="41" t="s">
        <v>151</v>
      </c>
      <c r="F7" s="41" t="s">
        <v>152</v>
      </c>
      <c r="G7" s="41" t="s">
        <v>153</v>
      </c>
      <c r="H7" s="41" t="s">
        <v>154</v>
      </c>
      <c r="I7" s="41" t="s">
        <v>155</v>
      </c>
      <c r="J7" s="41" t="s">
        <v>156</v>
      </c>
      <c r="K7" s="41" t="s">
        <v>157</v>
      </c>
      <c r="L7" s="41" t="s">
        <v>158</v>
      </c>
      <c r="M7" s="41" t="s">
        <v>159</v>
      </c>
      <c r="N7" s="41" t="s">
        <v>160</v>
      </c>
      <c r="O7" s="41" t="s">
        <v>161</v>
      </c>
      <c r="P7" s="41" t="s">
        <v>162</v>
      </c>
      <c r="Q7" s="41" t="s">
        <v>163</v>
      </c>
      <c r="R7" s="41" t="s">
        <v>164</v>
      </c>
      <c r="S7" s="41" t="s">
        <v>165</v>
      </c>
      <c r="T7" s="41" t="s">
        <v>166</v>
      </c>
      <c r="U7" s="41" t="s">
        <v>167</v>
      </c>
      <c r="V7" s="41" t="s">
        <v>168</v>
      </c>
    </row>
    <row r="9" spans="1:22" ht="16" customHeight="1" x14ac:dyDescent="0.35">
      <c r="A9" s="4" t="s">
        <v>185</v>
      </c>
      <c r="B9" s="5"/>
      <c r="C9" s="5"/>
      <c r="D9" s="5"/>
      <c r="E9" s="5"/>
      <c r="F9" s="5"/>
      <c r="G9" s="5"/>
      <c r="H9" s="5"/>
    </row>
    <row r="10" spans="1:22" x14ac:dyDescent="0.35">
      <c r="B10" s="9" t="s">
        <v>186</v>
      </c>
      <c r="C10" s="40">
        <f>'Consumer Model'!C24*Assumptions!$F$21*INDEX(Assumptions!$C$16:$G$16,1,'Consumer Model'!C$6)</f>
        <v>0</v>
      </c>
      <c r="D10" s="40">
        <f>'Consumer Model'!D24*Assumptions!$F$21*INDEX(Assumptions!$C$16:$G$16,1,'Consumer Model'!D$6)</f>
        <v>0</v>
      </c>
      <c r="E10" s="40">
        <f>'Consumer Model'!E24*Assumptions!$F$21*INDEX(Assumptions!$C$16:$G$16,1,'Consumer Model'!E$6)</f>
        <v>0</v>
      </c>
      <c r="F10" s="40">
        <f>'Consumer Model'!F24*Assumptions!$F$21*INDEX(Assumptions!$C$16:$G$16,1,'Consumer Model'!F$6)</f>
        <v>0</v>
      </c>
      <c r="G10" s="40">
        <f>'Consumer Model'!G24*Assumptions!$F$21*INDEX(Assumptions!$C$16:$G$16,1,'Consumer Model'!G$6)</f>
        <v>233.89079037732208</v>
      </c>
      <c r="H10" s="40">
        <f>'Consumer Model'!H24*Assumptions!$F$21*INDEX(Assumptions!$C$16:$G$16,1,'Consumer Model'!H$6)</f>
        <v>319.91170656917194</v>
      </c>
      <c r="I10" s="40">
        <f>'Consumer Model'!I24*Assumptions!$F$21*INDEX(Assumptions!$C$16:$G$16,1,'Consumer Model'!I$6)</f>
        <v>437.56960175685123</v>
      </c>
      <c r="J10" s="40">
        <f>'Consumer Model'!J24*Assumptions!$F$21*INDEX(Assumptions!$C$16:$G$16,1,'Consumer Model'!J$6)</f>
        <v>598.5</v>
      </c>
      <c r="K10" s="40">
        <f>'Consumer Model'!K24*Assumptions!$F$21*INDEX(Assumptions!$C$16:$G$16,1,'Consumer Model'!K$6)</f>
        <v>891.88139531915442</v>
      </c>
      <c r="L10" s="40">
        <f>'Consumer Model'!L24*Assumptions!$F$21*INDEX(Assumptions!$C$16:$G$16,1,'Consumer Model'!L$6)</f>
        <v>1159.5516374875247</v>
      </c>
      <c r="M10" s="40">
        <f>'Consumer Model'!M24*Assumptions!$F$21*INDEX(Assumptions!$C$16:$G$16,1,'Consumer Model'!M$6)</f>
        <v>1507.5547119343787</v>
      </c>
      <c r="N10" s="40">
        <f>'Consumer Model'!N24*Assumptions!$F$21*INDEX(Assumptions!$C$16:$G$16,1,'Consumer Model'!N$6)</f>
        <v>1959.9999999999998</v>
      </c>
      <c r="O10" s="40">
        <f>'Consumer Model'!O24*Assumptions!$F$21*INDEX(Assumptions!$C$16:$G$16,1,'Consumer Model'!O$6)</f>
        <v>3168.7322428009975</v>
      </c>
      <c r="P10" s="40">
        <f>'Consumer Model'!P24*Assumptions!$F$21*INDEX(Assumptions!$C$16:$G$16,1,'Consumer Model'!P$6)</f>
        <v>3984.4698518121586</v>
      </c>
      <c r="Q10" s="40">
        <f>'Consumer Model'!Q24*Assumptions!$F$21*INDEX(Assumptions!$C$16:$G$16,1,'Consumer Model'!Q$6)</f>
        <v>5010.2055912324186</v>
      </c>
      <c r="R10" s="40">
        <f>'Consumer Model'!R24*Assumptions!$F$21*INDEX(Assumptions!$C$16:$G$16,1,'Consumer Model'!R$6)</f>
        <v>6300</v>
      </c>
      <c r="S10" s="40">
        <f>'Consumer Model'!S24*Assumptions!$F$21*INDEX(Assumptions!$C$16:$G$16,1,'Consumer Model'!S$6)</f>
        <v>8324.4498050190468</v>
      </c>
      <c r="T10" s="40">
        <f>'Consumer Model'!T24*Assumptions!$F$21*INDEX(Assumptions!$C$16:$G$16,1,'Consumer Model'!T$6)</f>
        <v>9899.4949366116653</v>
      </c>
      <c r="U10" s="40">
        <f>'Consumer Model'!U24*Assumptions!$F$21*INDEX(Assumptions!$C$16:$G$16,1,'Consumer Model'!U$6)</f>
        <v>11772.549813552003</v>
      </c>
      <c r="V10" s="40">
        <f>'Consumer Model'!V24*Assumptions!$F$21*INDEX(Assumptions!$C$16:$G$16,1,'Consumer Model'!V$6)</f>
        <v>14000</v>
      </c>
    </row>
    <row r="11" spans="1:22" x14ac:dyDescent="0.35">
      <c r="B11" s="9" t="s">
        <v>187</v>
      </c>
      <c r="C11" s="40">
        <f>C10</f>
        <v>0</v>
      </c>
      <c r="D11" s="40">
        <f t="shared" ref="D11:V11" si="1">MAX(0,D10-C10)</f>
        <v>0</v>
      </c>
      <c r="E11" s="40">
        <f t="shared" si="1"/>
        <v>0</v>
      </c>
      <c r="F11" s="40">
        <f t="shared" si="1"/>
        <v>0</v>
      </c>
      <c r="G11" s="40">
        <f t="shared" si="1"/>
        <v>233.89079037732208</v>
      </c>
      <c r="H11" s="40">
        <f t="shared" si="1"/>
        <v>86.020916191849864</v>
      </c>
      <c r="I11" s="40">
        <f t="shared" si="1"/>
        <v>117.65789518767929</v>
      </c>
      <c r="J11" s="40">
        <f t="shared" si="1"/>
        <v>160.93039824314877</v>
      </c>
      <c r="K11" s="40">
        <f t="shared" si="1"/>
        <v>293.38139531915442</v>
      </c>
      <c r="L11" s="40">
        <f t="shared" si="1"/>
        <v>267.67024216837024</v>
      </c>
      <c r="M11" s="40">
        <f t="shared" si="1"/>
        <v>348.00307444685404</v>
      </c>
      <c r="N11" s="40">
        <f t="shared" si="1"/>
        <v>452.44528806562107</v>
      </c>
      <c r="O11" s="40">
        <f t="shared" si="1"/>
        <v>1208.7322428009977</v>
      </c>
      <c r="P11" s="40">
        <f t="shared" si="1"/>
        <v>815.73760901116111</v>
      </c>
      <c r="Q11" s="40">
        <f t="shared" si="1"/>
        <v>1025.73573942026</v>
      </c>
      <c r="R11" s="40">
        <f t="shared" si="1"/>
        <v>1289.7944087675814</v>
      </c>
      <c r="S11" s="40">
        <f t="shared" si="1"/>
        <v>2024.4498050190468</v>
      </c>
      <c r="T11" s="40">
        <f t="shared" si="1"/>
        <v>1575.0451315926184</v>
      </c>
      <c r="U11" s="40">
        <f t="shared" si="1"/>
        <v>1873.0548769403376</v>
      </c>
      <c r="V11" s="40">
        <f t="shared" si="1"/>
        <v>2227.4501864479971</v>
      </c>
    </row>
    <row r="12" spans="1:22" x14ac:dyDescent="0.35">
      <c r="B12" s="9" t="s">
        <v>188</v>
      </c>
      <c r="C12" s="16">
        <f>0</f>
        <v>0</v>
      </c>
      <c r="D12" s="16">
        <f t="shared" ref="D12:V12" si="2">C18</f>
        <v>0</v>
      </c>
      <c r="E12" s="16">
        <f t="shared" si="2"/>
        <v>0</v>
      </c>
      <c r="F12" s="16">
        <f t="shared" si="2"/>
        <v>0</v>
      </c>
      <c r="G12" s="16">
        <f t="shared" si="2"/>
        <v>0</v>
      </c>
      <c r="H12" s="16">
        <f t="shared" si="2"/>
        <v>59337.595794352514</v>
      </c>
      <c r="I12" s="16">
        <f t="shared" si="2"/>
        <v>81531.924734039101</v>
      </c>
      <c r="J12" s="16">
        <f t="shared" si="2"/>
        <v>111851.50633428797</v>
      </c>
      <c r="K12" s="16">
        <f t="shared" si="2"/>
        <v>153288.44193677319</v>
      </c>
      <c r="L12" s="16">
        <f t="shared" si="2"/>
        <v>228521.72086128377</v>
      </c>
      <c r="M12" s="16">
        <f t="shared" si="2"/>
        <v>297616.48717174603</v>
      </c>
      <c r="N12" s="16">
        <f t="shared" si="2"/>
        <v>387396.3129476824</v>
      </c>
      <c r="O12" s="16">
        <f t="shared" si="2"/>
        <v>504074.37313722429</v>
      </c>
      <c r="P12" s="16">
        <f t="shared" si="2"/>
        <v>813147.45705222618</v>
      </c>
      <c r="Q12" s="16">
        <f t="shared" si="2"/>
        <v>1024191.7873776349</v>
      </c>
      <c r="R12" s="16">
        <f t="shared" si="2"/>
        <v>1289393.1590579546</v>
      </c>
      <c r="S12" s="16">
        <f t="shared" si="2"/>
        <v>1622710.8413157475</v>
      </c>
      <c r="T12" s="16">
        <f t="shared" si="2"/>
        <v>2143839.5605224613</v>
      </c>
      <c r="U12" s="16">
        <f t="shared" si="2"/>
        <v>2553406.8057994009</v>
      </c>
      <c r="V12" s="16">
        <f t="shared" si="2"/>
        <v>3040069.8272482678</v>
      </c>
    </row>
    <row r="13" spans="1:22" x14ac:dyDescent="0.35">
      <c r="B13" s="9" t="s">
        <v>189</v>
      </c>
      <c r="C13" s="16">
        <f>C11*Assumptions!$D$21*Assumptions!$H$21</f>
        <v>0</v>
      </c>
      <c r="D13" s="16">
        <f>D11*Assumptions!$D$21*Assumptions!$H$21</f>
        <v>0</v>
      </c>
      <c r="E13" s="16">
        <f>E11*Assumptions!$D$21*Assumptions!$H$21</f>
        <v>0</v>
      </c>
      <c r="F13" s="16">
        <f>F11*Assumptions!$D$21*Assumptions!$H$21</f>
        <v>0</v>
      </c>
      <c r="G13" s="16">
        <f>G11*Assumptions!$D$21*Assumptions!$H$21</f>
        <v>52625.427834897469</v>
      </c>
      <c r="H13" s="16">
        <f>H11*Assumptions!$D$21*Assumptions!$H$21</f>
        <v>19354.706143166219</v>
      </c>
      <c r="I13" s="16">
        <f>I11*Assumptions!$D$21*Assumptions!$H$21</f>
        <v>26473.02641722784</v>
      </c>
      <c r="J13" s="16">
        <f>J11*Assumptions!$D$21*Assumptions!$H$21</f>
        <v>36209.339604708475</v>
      </c>
      <c r="K13" s="16">
        <f>K11*Assumptions!$D$21*Assumptions!$H$21</f>
        <v>66010.813946809751</v>
      </c>
      <c r="L13" s="16">
        <f>L11*Assumptions!$D$21*Assumptions!$H$21</f>
        <v>60225.804487883302</v>
      </c>
      <c r="M13" s="16">
        <f>M11*Assumptions!$D$21*Assumptions!$H$21</f>
        <v>78300.691750542159</v>
      </c>
      <c r="N13" s="16">
        <f>N11*Assumptions!$D$21*Assumptions!$H$21</f>
        <v>101800.18981476474</v>
      </c>
      <c r="O13" s="16">
        <f>O11*Assumptions!$D$21*Assumptions!$H$21</f>
        <v>271964.75463022449</v>
      </c>
      <c r="P13" s="16">
        <f>P11*Assumptions!$D$21*Assumptions!$H$21</f>
        <v>183540.96202751124</v>
      </c>
      <c r="Q13" s="16">
        <f>Q11*Assumptions!$D$21*Assumptions!$H$21</f>
        <v>230790.54136955849</v>
      </c>
      <c r="R13" s="16">
        <f>R11*Assumptions!$D$21*Assumptions!$H$21</f>
        <v>290203.74197270581</v>
      </c>
      <c r="S13" s="16">
        <f>S11*Assumptions!$D$21*Assumptions!$H$21</f>
        <v>455501.20612928557</v>
      </c>
      <c r="T13" s="16">
        <f>T11*Assumptions!$D$21*Assumptions!$H$21</f>
        <v>354385.15460833913</v>
      </c>
      <c r="U13" s="16">
        <f>U11*Assumptions!$D$21*Assumptions!$H$21</f>
        <v>421437.34731157596</v>
      </c>
      <c r="V13" s="16">
        <f>V11*Assumptions!$D$21*Assumptions!$H$21</f>
        <v>501176.29195079935</v>
      </c>
    </row>
    <row r="14" spans="1:22" x14ac:dyDescent="0.35">
      <c r="B14" s="9" t="s">
        <v>190</v>
      </c>
      <c r="C14" s="16">
        <f>C10*Assumptions!$D$21*Assumptions!$G$21*3</f>
        <v>0</v>
      </c>
      <c r="D14" s="16">
        <f>D10*Assumptions!$D$21*Assumptions!$G$21*3</f>
        <v>0</v>
      </c>
      <c r="E14" s="16">
        <f>E10*Assumptions!$D$21*Assumptions!$G$21*3</f>
        <v>0</v>
      </c>
      <c r="F14" s="16">
        <f>F10*Assumptions!$D$21*Assumptions!$G$21*3</f>
        <v>0</v>
      </c>
      <c r="G14" s="16">
        <f>G10*Assumptions!$D$21*Assumptions!$G$21*3</f>
        <v>6315.051340187696</v>
      </c>
      <c r="H14" s="16">
        <f>H10*Assumptions!$D$21*Assumptions!$G$21*3</f>
        <v>8637.616077367642</v>
      </c>
      <c r="I14" s="16">
        <f>I10*Assumptions!$D$21*Assumptions!$G$21*3</f>
        <v>11814.379247434985</v>
      </c>
      <c r="J14" s="16">
        <f>J10*Assumptions!$D$21*Assumptions!$G$21*3</f>
        <v>16159.5</v>
      </c>
      <c r="K14" s="16">
        <f>K10*Assumptions!$D$21*Assumptions!$G$21*3</f>
        <v>24080.797673617169</v>
      </c>
      <c r="L14" s="16">
        <f>L10*Assumptions!$D$21*Assumptions!$G$21*3</f>
        <v>31307.894212163163</v>
      </c>
      <c r="M14" s="16">
        <f>M10*Assumptions!$D$21*Assumptions!$G$21*3</f>
        <v>40703.977222228226</v>
      </c>
      <c r="N14" s="16">
        <f>N10*Assumptions!$D$21*Assumptions!$G$21*3</f>
        <v>52919.999999999985</v>
      </c>
      <c r="O14" s="16">
        <f>O10*Assumptions!$D$21*Assumptions!$G$21*3</f>
        <v>85555.770555626936</v>
      </c>
      <c r="P14" s="16">
        <f>P10*Assumptions!$D$21*Assumptions!$G$21*3</f>
        <v>107580.68599892828</v>
      </c>
      <c r="Q14" s="16">
        <f>Q10*Assumptions!$D$21*Assumptions!$G$21*3</f>
        <v>135275.55096327531</v>
      </c>
      <c r="R14" s="16">
        <f>R10*Assumptions!$D$21*Assumptions!$G$21*3</f>
        <v>170100</v>
      </c>
      <c r="S14" s="16">
        <f>S10*Assumptions!$D$21*Assumptions!$G$21*3</f>
        <v>224760.14473551424</v>
      </c>
      <c r="T14" s="16">
        <f>T10*Assumptions!$D$21*Assumptions!$G$21*3</f>
        <v>267286.36328851496</v>
      </c>
      <c r="U14" s="16">
        <f>U10*Assumptions!$D$21*Assumptions!$G$21*3</f>
        <v>317858.84496590408</v>
      </c>
      <c r="V14" s="16">
        <f>V10*Assumptions!$D$21*Assumptions!$G$21*3</f>
        <v>378000</v>
      </c>
    </row>
    <row r="15" spans="1:22" x14ac:dyDescent="0.35">
      <c r="B15" s="9" t="s">
        <v>191</v>
      </c>
      <c r="C15" s="16">
        <f>-C12*Assumptions!$C$14/4</f>
        <v>0</v>
      </c>
      <c r="D15" s="16">
        <f>-D12*Assumptions!$C$14/4</f>
        <v>0</v>
      </c>
      <c r="E15" s="16">
        <f>-E12*Assumptions!$C$14/4</f>
        <v>0</v>
      </c>
      <c r="F15" s="16">
        <f>-F12*Assumptions!$C$14/4</f>
        <v>0</v>
      </c>
      <c r="G15" s="16">
        <f>-G12*Assumptions!$C$14/4</f>
        <v>0</v>
      </c>
      <c r="H15" s="16">
        <f>-H12*Assumptions!$C$14/4</f>
        <v>-1186.7519158870502</v>
      </c>
      <c r="I15" s="16">
        <f>-I12*Assumptions!$C$14/4</f>
        <v>-1630.6384946807821</v>
      </c>
      <c r="J15" s="16">
        <f>-J12*Assumptions!$C$14/4</f>
        <v>-2237.0301266857596</v>
      </c>
      <c r="K15" s="16">
        <f>-K12*Assumptions!$C$14/4</f>
        <v>-3065.7688387354638</v>
      </c>
      <c r="L15" s="16">
        <f>-L12*Assumptions!$C$14/4</f>
        <v>-4570.4344172256751</v>
      </c>
      <c r="M15" s="16">
        <f>-M12*Assumptions!$C$14/4</f>
        <v>-5952.3297434349206</v>
      </c>
      <c r="N15" s="16">
        <f>-N12*Assumptions!$C$14/4</f>
        <v>-7747.9262589536484</v>
      </c>
      <c r="O15" s="16">
        <f>-O12*Assumptions!$C$14/4</f>
        <v>-10081.487462744486</v>
      </c>
      <c r="P15" s="16">
        <f>-P12*Assumptions!$C$14/4</f>
        <v>-16262.949141044524</v>
      </c>
      <c r="Q15" s="16">
        <f>-Q12*Assumptions!$C$14/4</f>
        <v>-20483.835747552697</v>
      </c>
      <c r="R15" s="16">
        <f>-R12*Assumptions!$C$14/4</f>
        <v>-25787.863181159093</v>
      </c>
      <c r="S15" s="16">
        <f>-S12*Assumptions!$C$14/4</f>
        <v>-32454.216826314951</v>
      </c>
      <c r="T15" s="16">
        <f>-T12*Assumptions!$C$14/4</f>
        <v>-42876.791210449228</v>
      </c>
      <c r="U15" s="16">
        <f>-U12*Assumptions!$C$14/4</f>
        <v>-51068.136115988018</v>
      </c>
      <c r="V15" s="16">
        <f>-V12*Assumptions!$C$14/4</f>
        <v>-60801.396544965355</v>
      </c>
    </row>
    <row r="16" spans="1:22" x14ac:dyDescent="0.35">
      <c r="B16" s="9" t="s">
        <v>192</v>
      </c>
      <c r="C16" s="16">
        <f>-C12*(1-(1-Assumptions!$E$21)^3)</f>
        <v>0</v>
      </c>
      <c r="D16" s="16">
        <f>-D12*(1-(1-Assumptions!$E$21)^3)</f>
        <v>0</v>
      </c>
      <c r="E16" s="16">
        <f>-E12*(1-(1-Assumptions!$E$21)^3)</f>
        <v>0</v>
      </c>
      <c r="F16" s="16">
        <f>-F12*(1-(1-Assumptions!$E$21)^3)</f>
        <v>0</v>
      </c>
      <c r="G16" s="16">
        <f>-G12*(1-(1-Assumptions!$E$21)^3)</f>
        <v>0</v>
      </c>
      <c r="H16" s="16">
        <f>-H12*(1-(1-Assumptions!$E$21)^3)</f>
        <v>-5599.4265316816382</v>
      </c>
      <c r="I16" s="16">
        <f>-I12*(1-(1-Assumptions!$E$21)^3)</f>
        <v>-7693.807213171579</v>
      </c>
      <c r="J16" s="16">
        <f>-J12*(1-(1-Assumptions!$E$21)^3)</f>
        <v>-10554.932059387173</v>
      </c>
      <c r="K16" s="16">
        <f>-K12*(1-(1-Assumptions!$E$21)^3)</f>
        <v>-14465.152443244082</v>
      </c>
      <c r="L16" s="16">
        <f>-L12*(1-(1-Assumptions!$E$21)^3)</f>
        <v>-21564.584303194893</v>
      </c>
      <c r="M16" s="16">
        <f>-M12*(1-(1-Assumptions!$E$21)^3)</f>
        <v>-28084.751871493434</v>
      </c>
      <c r="N16" s="16">
        <f>-N12*(1-(1-Assumptions!$E$21)^3)</f>
        <v>-36556.877034801437</v>
      </c>
      <c r="O16" s="16">
        <f>-O12*(1-(1-Assumptions!$E$21)^3)</f>
        <v>-47567.269639091093</v>
      </c>
      <c r="P16" s="16">
        <f>-P12*(1-(1-Assumptions!$E$21)^3)</f>
        <v>-76733.129885606861</v>
      </c>
      <c r="Q16" s="16">
        <f>-Q12*(1-(1-Assumptions!$E$21)^3)</f>
        <v>-96648.450126767493</v>
      </c>
      <c r="R16" s="16">
        <f>-R12*(1-(1-Assumptions!$E$21)^3)</f>
        <v>-121674.33088492384</v>
      </c>
      <c r="S16" s="16">
        <f>-S12*(1-(1-Assumptions!$E$21)^3)</f>
        <v>-153128.0466704655</v>
      </c>
      <c r="T16" s="16">
        <f>-T12*(1-(1-Assumptions!$E$21)^3)</f>
        <v>-202304.65953594778</v>
      </c>
      <c r="U16" s="16">
        <f>-U12*(1-(1-Assumptions!$E$21)^3)</f>
        <v>-240953.70941756983</v>
      </c>
      <c r="V16" s="16">
        <f>-V12*(1-(1-Assumptions!$E$21)^3)</f>
        <v>-286877.9467886514</v>
      </c>
    </row>
    <row r="17" spans="1:22" x14ac:dyDescent="0.35">
      <c r="B17" s="9" t="s">
        <v>193</v>
      </c>
      <c r="C17" s="16">
        <f>(C12+(C13+C14)/2)*((1+Assumptions!$C$13)^(1/4)-1)</f>
        <v>0</v>
      </c>
      <c r="D17" s="16">
        <f>(D12+(D13+D14)/2)*((1+Assumptions!$C$13)^(1/4)-1)</f>
        <v>0</v>
      </c>
      <c r="E17" s="16">
        <f>(E12+(E13+E14)/2)*((1+Assumptions!$C$13)^(1/4)-1)</f>
        <v>0</v>
      </c>
      <c r="F17" s="16">
        <f>(F12+(F13+F14)/2)*((1+Assumptions!$C$13)^(1/4)-1)</f>
        <v>0</v>
      </c>
      <c r="G17" s="16">
        <f>(G12+(G13+G14)/2)*((1+Assumptions!$C$13)^(1/4)-1)</f>
        <v>397.1166192673457</v>
      </c>
      <c r="H17" s="16">
        <f>(H12+(H13+H14)/2)*((1+Assumptions!$C$13)^(1/4)-1)</f>
        <v>988.18516672141607</v>
      </c>
      <c r="I17" s="16">
        <f>(I12+(I13+I14)/2)*((1+Assumptions!$C$13)^(1/4)-1)</f>
        <v>1356.6216434384014</v>
      </c>
      <c r="J17" s="16">
        <f>(J12+(J13+J14)/2)*((1+Assumptions!$C$13)^(1/4)-1)</f>
        <v>1860.0581838497137</v>
      </c>
      <c r="K17" s="16">
        <f>(K12+(K13+K14)/2)*((1+Assumptions!$C$13)^(1/4)-1)</f>
        <v>2672.5885860632457</v>
      </c>
      <c r="L17" s="16">
        <f>(L12+(L13+L14)/2)*((1+Assumptions!$C$13)^(1/4)-1)</f>
        <v>3696.0863308363441</v>
      </c>
      <c r="M17" s="16">
        <f>(M12+(M13+M14)/2)*((1+Assumptions!$C$13)^(1/4)-1)</f>
        <v>4812.2384180942754</v>
      </c>
      <c r="N17" s="16">
        <f>(N12+(N13+N14)/2)*((1+Assumptions!$C$13)^(1/4)-1)</f>
        <v>6262.6736685322276</v>
      </c>
      <c r="O17" s="16">
        <f>(O12+(O13+O14)/2)*((1+Assumptions!$C$13)^(1/4)-1)</f>
        <v>9201.3158309860264</v>
      </c>
      <c r="P17" s="16">
        <f>(P12+(P13+P14)/2)*((1+Assumptions!$C$13)^(1/4)-1)</f>
        <v>12918.761325620595</v>
      </c>
      <c r="Q17" s="16">
        <f>(Q12+(Q13+Q14)/2)*((1+Assumptions!$C$13)^(1/4)-1)</f>
        <v>16267.565221805997</v>
      </c>
      <c r="R17" s="16">
        <f>(R12+(R13+R14)/2)*((1+Assumptions!$C$13)^(1/4)-1)</f>
        <v>20476.134351170065</v>
      </c>
      <c r="S17" s="16">
        <f>(S12+(S13+S14)/2)*((1+Assumptions!$C$13)^(1/4)-1)</f>
        <v>26449.631838694229</v>
      </c>
      <c r="T17" s="16">
        <f>(T12+(T13+T14)/2)*((1+Assumptions!$C$13)^(1/4)-1)</f>
        <v>33077.178126482802</v>
      </c>
      <c r="U17" s="16">
        <f>(U12+(U13+U14)/2)*((1+Assumptions!$C$13)^(1/4)-1)</f>
        <v>39388.674704945341</v>
      </c>
      <c r="V17" s="16">
        <f>(V12+(V13+V14)/2)*((1+Assumptions!$C$13)^(1/4)-1)</f>
        <v>46888.998185049124</v>
      </c>
    </row>
    <row r="18" spans="1:22" x14ac:dyDescent="0.35">
      <c r="B18" s="7" t="s">
        <v>194</v>
      </c>
      <c r="C18" s="43">
        <f t="shared" ref="C18:V18" si="3">C12+C13+C14+C15+C16+C17</f>
        <v>0</v>
      </c>
      <c r="D18" s="43">
        <f t="shared" si="3"/>
        <v>0</v>
      </c>
      <c r="E18" s="43">
        <f t="shared" si="3"/>
        <v>0</v>
      </c>
      <c r="F18" s="43">
        <f t="shared" si="3"/>
        <v>0</v>
      </c>
      <c r="G18" s="43">
        <f t="shared" si="3"/>
        <v>59337.595794352514</v>
      </c>
      <c r="H18" s="43">
        <f t="shared" si="3"/>
        <v>81531.924734039101</v>
      </c>
      <c r="I18" s="43">
        <f t="shared" si="3"/>
        <v>111851.50633428797</v>
      </c>
      <c r="J18" s="43">
        <f t="shared" si="3"/>
        <v>153288.44193677319</v>
      </c>
      <c r="K18" s="43">
        <f t="shared" si="3"/>
        <v>228521.72086128377</v>
      </c>
      <c r="L18" s="43">
        <f t="shared" si="3"/>
        <v>297616.48717174603</v>
      </c>
      <c r="M18" s="43">
        <f t="shared" si="3"/>
        <v>387396.3129476824</v>
      </c>
      <c r="N18" s="43">
        <f t="shared" si="3"/>
        <v>504074.37313722429</v>
      </c>
      <c r="O18" s="43">
        <f t="shared" si="3"/>
        <v>813147.45705222618</v>
      </c>
      <c r="P18" s="43">
        <f t="shared" si="3"/>
        <v>1024191.7873776349</v>
      </c>
      <c r="Q18" s="43">
        <f t="shared" si="3"/>
        <v>1289393.1590579546</v>
      </c>
      <c r="R18" s="43">
        <f t="shared" si="3"/>
        <v>1622710.8413157475</v>
      </c>
      <c r="S18" s="43">
        <f t="shared" si="3"/>
        <v>2143839.5605224613</v>
      </c>
      <c r="T18" s="43">
        <f t="shared" si="3"/>
        <v>2553406.8057994009</v>
      </c>
      <c r="U18" s="43">
        <f t="shared" si="3"/>
        <v>3040069.8272482678</v>
      </c>
      <c r="V18" s="43">
        <f t="shared" si="3"/>
        <v>3618455.7740504998</v>
      </c>
    </row>
    <row r="19" spans="1:22" x14ac:dyDescent="0.35">
      <c r="B19" s="9" t="s">
        <v>195</v>
      </c>
      <c r="C19" s="16">
        <f t="shared" ref="C19:V19" si="4">(C12+C18)/2</f>
        <v>0</v>
      </c>
      <c r="D19" s="16">
        <f t="shared" si="4"/>
        <v>0</v>
      </c>
      <c r="E19" s="16">
        <f t="shared" si="4"/>
        <v>0</v>
      </c>
      <c r="F19" s="16">
        <f t="shared" si="4"/>
        <v>0</v>
      </c>
      <c r="G19" s="16">
        <f t="shared" si="4"/>
        <v>29668.797897176257</v>
      </c>
      <c r="H19" s="16">
        <f t="shared" si="4"/>
        <v>70434.760264195807</v>
      </c>
      <c r="I19" s="16">
        <f t="shared" si="4"/>
        <v>96691.715534163537</v>
      </c>
      <c r="J19" s="16">
        <f t="shared" si="4"/>
        <v>132569.97413553059</v>
      </c>
      <c r="K19" s="16">
        <f t="shared" si="4"/>
        <v>190905.08139902848</v>
      </c>
      <c r="L19" s="16">
        <f t="shared" si="4"/>
        <v>263069.1040165149</v>
      </c>
      <c r="M19" s="16">
        <f t="shared" si="4"/>
        <v>342506.40005971421</v>
      </c>
      <c r="N19" s="16">
        <f t="shared" si="4"/>
        <v>445735.34304245334</v>
      </c>
      <c r="O19" s="16">
        <f t="shared" si="4"/>
        <v>658610.91509472521</v>
      </c>
      <c r="P19" s="16">
        <f t="shared" si="4"/>
        <v>918669.6222149306</v>
      </c>
      <c r="Q19" s="16">
        <f t="shared" si="4"/>
        <v>1156792.4732177947</v>
      </c>
      <c r="R19" s="16">
        <f t="shared" si="4"/>
        <v>1456052.000186851</v>
      </c>
      <c r="S19" s="16">
        <f t="shared" si="4"/>
        <v>1883275.2009191043</v>
      </c>
      <c r="T19" s="16">
        <f t="shared" si="4"/>
        <v>2348623.1831609309</v>
      </c>
      <c r="U19" s="16">
        <f t="shared" si="4"/>
        <v>2796738.3165238341</v>
      </c>
      <c r="V19" s="16">
        <f t="shared" si="4"/>
        <v>3329262.800649384</v>
      </c>
    </row>
    <row r="20" spans="1:22" x14ac:dyDescent="0.35">
      <c r="B20" s="9" t="s">
        <v>196</v>
      </c>
      <c r="C20" s="16">
        <f t="shared" ref="C20:V20" si="5">IF(C10=0,0,C18/C10)</f>
        <v>0</v>
      </c>
      <c r="D20" s="16">
        <f t="shared" si="5"/>
        <v>0</v>
      </c>
      <c r="E20" s="16">
        <f t="shared" si="5"/>
        <v>0</v>
      </c>
      <c r="F20" s="16">
        <f t="shared" si="5"/>
        <v>0</v>
      </c>
      <c r="G20" s="16">
        <f t="shared" si="5"/>
        <v>253.69787197959658</v>
      </c>
      <c r="H20" s="16">
        <f t="shared" si="5"/>
        <v>254.85758432666205</v>
      </c>
      <c r="I20" s="16">
        <f t="shared" si="5"/>
        <v>255.6199194029974</v>
      </c>
      <c r="J20" s="16">
        <f t="shared" si="5"/>
        <v>256.12103915918664</v>
      </c>
      <c r="K20" s="16">
        <f t="shared" si="5"/>
        <v>256.22433886459606</v>
      </c>
      <c r="L20" s="16">
        <f t="shared" si="5"/>
        <v>256.66514327607769</v>
      </c>
      <c r="M20" s="16">
        <f t="shared" si="5"/>
        <v>256.96998581935719</v>
      </c>
      <c r="N20" s="16">
        <f t="shared" si="5"/>
        <v>257.18080262103285</v>
      </c>
      <c r="O20" s="16">
        <f t="shared" si="5"/>
        <v>256.61602014484043</v>
      </c>
      <c r="P20" s="16">
        <f t="shared" si="5"/>
        <v>257.04593721842991</v>
      </c>
      <c r="Q20" s="16">
        <f t="shared" si="5"/>
        <v>257.35334320697757</v>
      </c>
      <c r="R20" s="16">
        <f t="shared" si="5"/>
        <v>257.57314941519803</v>
      </c>
      <c r="S20" s="16">
        <f t="shared" si="5"/>
        <v>257.53528590320525</v>
      </c>
      <c r="T20" s="16">
        <f t="shared" si="5"/>
        <v>257.93303821551973</v>
      </c>
      <c r="U20" s="16">
        <f t="shared" si="5"/>
        <v>258.23376204776667</v>
      </c>
      <c r="V20" s="16">
        <f t="shared" si="5"/>
        <v>258.46112671789285</v>
      </c>
    </row>
    <row r="22" spans="1:22" ht="16" customHeight="1" x14ac:dyDescent="0.35">
      <c r="A22" s="4" t="s">
        <v>197</v>
      </c>
      <c r="B22" s="5"/>
      <c r="C22" s="5"/>
      <c r="D22" s="5"/>
      <c r="E22" s="5"/>
      <c r="F22" s="5"/>
      <c r="G22" s="5"/>
      <c r="H22" s="5"/>
    </row>
    <row r="23" spans="1:22" x14ac:dyDescent="0.35">
      <c r="B23" s="9" t="s">
        <v>186</v>
      </c>
      <c r="C23" s="40">
        <f>'Consumer Model'!C25*Assumptions!$F$22*INDEX(Assumptions!$C$16:$G$16,1,'Consumer Model'!C$6)</f>
        <v>0</v>
      </c>
      <c r="D23" s="40">
        <f>'Consumer Model'!D25*Assumptions!$F$22*INDEX(Assumptions!$C$16:$G$16,1,'Consumer Model'!D$6)</f>
        <v>0</v>
      </c>
      <c r="E23" s="40">
        <f>'Consumer Model'!E25*Assumptions!$F$22*INDEX(Assumptions!$C$16:$G$16,1,'Consumer Model'!E$6)</f>
        <v>0</v>
      </c>
      <c r="F23" s="40">
        <f>'Consumer Model'!F25*Assumptions!$F$22*INDEX(Assumptions!$C$16:$G$16,1,'Consumer Model'!F$6)</f>
        <v>0</v>
      </c>
      <c r="G23" s="40">
        <f>'Consumer Model'!G25*Assumptions!$F$22*INDEX(Assumptions!$C$16:$G$16,1,'Consumer Model'!G$6)</f>
        <v>577.03319994405126</v>
      </c>
      <c r="H23" s="40">
        <f>'Consumer Model'!H25*Assumptions!$F$22*INDEX(Assumptions!$C$16:$G$16,1,'Consumer Model'!H$6)</f>
        <v>789.25585502262823</v>
      </c>
      <c r="I23" s="40">
        <f>'Consumer Model'!I25*Assumptions!$F$22*INDEX(Assumptions!$C$16:$G$16,1,'Consumer Model'!I$6)</f>
        <v>1079.5302674922318</v>
      </c>
      <c r="J23" s="40">
        <f>'Consumer Model'!J25*Assumptions!$F$22*INDEX(Assumptions!$C$16:$G$16,1,'Consumer Model'!J$6)</f>
        <v>1476.5625</v>
      </c>
      <c r="K23" s="40">
        <f>'Consumer Model'!K25*Assumptions!$F$22*INDEX(Assumptions!$C$16:$G$16,1,'Consumer Model'!K$6)</f>
        <v>3583.4520347644602</v>
      </c>
      <c r="L23" s="40">
        <f>'Consumer Model'!L25*Assumptions!$F$22*INDEX(Assumptions!$C$16:$G$16,1,'Consumer Model'!L$6)</f>
        <v>4658.9128291909474</v>
      </c>
      <c r="M23" s="40">
        <f>'Consumer Model'!M25*Assumptions!$F$22*INDEX(Assumptions!$C$16:$G$16,1,'Consumer Model'!M$6)</f>
        <v>6057.1394675934862</v>
      </c>
      <c r="N23" s="40">
        <f>'Consumer Model'!N25*Assumptions!$F$22*INDEX(Assumptions!$C$16:$G$16,1,'Consumer Model'!N$6)</f>
        <v>7874.9999999999991</v>
      </c>
      <c r="O23" s="40">
        <f>'Consumer Model'!O25*Assumptions!$F$22*INDEX(Assumptions!$C$16:$G$16,1,'Consumer Model'!O$6)</f>
        <v>12731.513475539723</v>
      </c>
      <c r="P23" s="40">
        <f>'Consumer Model'!P25*Assumptions!$F$22*INDEX(Assumptions!$C$16:$G$16,1,'Consumer Model'!P$6)</f>
        <v>16009.030654602422</v>
      </c>
      <c r="Q23" s="40">
        <f>'Consumer Model'!Q25*Assumptions!$F$22*INDEX(Assumptions!$C$16:$G$16,1,'Consumer Model'!Q$6)</f>
        <v>20130.290321915971</v>
      </c>
      <c r="R23" s="40">
        <f>'Consumer Model'!R25*Assumptions!$F$22*INDEX(Assumptions!$C$16:$G$16,1,'Consumer Model'!R$6)</f>
        <v>25312.5</v>
      </c>
      <c r="S23" s="40">
        <f>'Consumer Model'!S25*Assumptions!$F$22*INDEX(Assumptions!$C$16:$G$16,1,'Consumer Model'!S$6)</f>
        <v>33446.450109451529</v>
      </c>
      <c r="T23" s="40">
        <f>'Consumer Model'!T25*Assumptions!$F$22*INDEX(Assumptions!$C$16:$G$16,1,'Consumer Model'!T$6)</f>
        <v>39774.756441743302</v>
      </c>
      <c r="U23" s="40">
        <f>'Consumer Model'!U25*Assumptions!$F$22*INDEX(Assumptions!$C$16:$G$16,1,'Consumer Model'!U$6)</f>
        <v>47300.423358021442</v>
      </c>
      <c r="V23" s="40">
        <f>'Consumer Model'!V25*Assumptions!$F$22*INDEX(Assumptions!$C$16:$G$16,1,'Consumer Model'!V$6)</f>
        <v>56250</v>
      </c>
    </row>
    <row r="24" spans="1:22" x14ac:dyDescent="0.35">
      <c r="B24" s="9" t="s">
        <v>187</v>
      </c>
      <c r="C24" s="40">
        <f>C23</f>
        <v>0</v>
      </c>
      <c r="D24" s="40">
        <f t="shared" ref="D24:V24" si="6">MAX(0,D23-C23)</f>
        <v>0</v>
      </c>
      <c r="E24" s="40">
        <f t="shared" si="6"/>
        <v>0</v>
      </c>
      <c r="F24" s="40">
        <f t="shared" si="6"/>
        <v>0</v>
      </c>
      <c r="G24" s="40">
        <f t="shared" si="6"/>
        <v>577.03319994405126</v>
      </c>
      <c r="H24" s="40">
        <f t="shared" si="6"/>
        <v>212.22265507857696</v>
      </c>
      <c r="I24" s="40">
        <f t="shared" si="6"/>
        <v>290.27441246960359</v>
      </c>
      <c r="J24" s="40">
        <f t="shared" si="6"/>
        <v>397.03223250776819</v>
      </c>
      <c r="K24" s="40">
        <f t="shared" si="6"/>
        <v>2106.8895347644602</v>
      </c>
      <c r="L24" s="40">
        <f t="shared" si="6"/>
        <v>1075.4607944264872</v>
      </c>
      <c r="M24" s="40">
        <f t="shared" si="6"/>
        <v>1398.2266384025388</v>
      </c>
      <c r="N24" s="40">
        <f t="shared" si="6"/>
        <v>1817.8605324065129</v>
      </c>
      <c r="O24" s="40">
        <f t="shared" si="6"/>
        <v>4856.5134755397239</v>
      </c>
      <c r="P24" s="40">
        <f t="shared" si="6"/>
        <v>3277.5171790626991</v>
      </c>
      <c r="Q24" s="40">
        <f t="shared" si="6"/>
        <v>4121.2596673135486</v>
      </c>
      <c r="R24" s="40">
        <f t="shared" si="6"/>
        <v>5182.2096780840293</v>
      </c>
      <c r="S24" s="40">
        <f t="shared" si="6"/>
        <v>8133.950109451529</v>
      </c>
      <c r="T24" s="40">
        <f t="shared" si="6"/>
        <v>6328.3063322917733</v>
      </c>
      <c r="U24" s="40">
        <f t="shared" si="6"/>
        <v>7525.66691627814</v>
      </c>
      <c r="V24" s="40">
        <f t="shared" si="6"/>
        <v>8949.5766419785577</v>
      </c>
    </row>
    <row r="25" spans="1:22" x14ac:dyDescent="0.35">
      <c r="B25" s="9" t="s">
        <v>188</v>
      </c>
      <c r="C25" s="16">
        <f>0</f>
        <v>0</v>
      </c>
      <c r="D25" s="16">
        <f t="shared" ref="D25:V25" si="7">C31</f>
        <v>0</v>
      </c>
      <c r="E25" s="16">
        <f t="shared" si="7"/>
        <v>0</v>
      </c>
      <c r="F25" s="16">
        <f t="shared" si="7"/>
        <v>0</v>
      </c>
      <c r="G25" s="16">
        <f t="shared" si="7"/>
        <v>0</v>
      </c>
      <c r="H25" s="16">
        <f t="shared" si="7"/>
        <v>958519.66890548298</v>
      </c>
      <c r="I25" s="16">
        <f t="shared" si="7"/>
        <v>1328675.0670979887</v>
      </c>
      <c r="J25" s="16">
        <f t="shared" si="7"/>
        <v>1833688.7148368212</v>
      </c>
      <c r="K25" s="16">
        <f t="shared" si="7"/>
        <v>2523251.8084672028</v>
      </c>
      <c r="L25" s="16">
        <f t="shared" si="7"/>
        <v>6063038.6892372416</v>
      </c>
      <c r="M25" s="16">
        <f t="shared" si="7"/>
        <v>7950968.0932262419</v>
      </c>
      <c r="N25" s="16">
        <f t="shared" si="7"/>
        <v>10400547.497856611</v>
      </c>
      <c r="O25" s="16">
        <f t="shared" si="7"/>
        <v>13580697.71074038</v>
      </c>
      <c r="P25" s="16">
        <f t="shared" si="7"/>
        <v>21852305.88545863</v>
      </c>
      <c r="Q25" s="16">
        <f t="shared" si="7"/>
        <v>27634565.572001651</v>
      </c>
      <c r="R25" s="16">
        <f t="shared" si="7"/>
        <v>34894005.404612996</v>
      </c>
      <c r="S25" s="16">
        <f t="shared" si="7"/>
        <v>44011725.225824915</v>
      </c>
      <c r="T25" s="16">
        <f t="shared" si="7"/>
        <v>58154006.164358161</v>
      </c>
      <c r="U25" s="16">
        <f t="shared" si="7"/>
        <v>69499652.110998183</v>
      </c>
      <c r="V25" s="16">
        <f t="shared" si="7"/>
        <v>82967138.182431102</v>
      </c>
    </row>
    <row r="26" spans="1:22" x14ac:dyDescent="0.35">
      <c r="B26" s="9" t="s">
        <v>189</v>
      </c>
      <c r="C26" s="16">
        <f>C24*Assumptions!$D$22*Assumptions!$H$22</f>
        <v>0</v>
      </c>
      <c r="D26" s="16">
        <f>D24*Assumptions!$D$22*Assumptions!$H$22</f>
        <v>0</v>
      </c>
      <c r="E26" s="16">
        <f>E24*Assumptions!$D$22*Assumptions!$H$22</f>
        <v>0</v>
      </c>
      <c r="F26" s="16">
        <f>F24*Assumptions!$D$22*Assumptions!$H$22</f>
        <v>0</v>
      </c>
      <c r="G26" s="16">
        <f>G24*Assumptions!$D$22*Assumptions!$H$22</f>
        <v>865549.79991607682</v>
      </c>
      <c r="H26" s="16">
        <f>H24*Assumptions!$D$22*Assumptions!$H$22</f>
        <v>318333.98261786543</v>
      </c>
      <c r="I26" s="16">
        <f>I24*Assumptions!$D$22*Assumptions!$H$22</f>
        <v>435411.61870440538</v>
      </c>
      <c r="J26" s="16">
        <f>J24*Assumptions!$D$22*Assumptions!$H$22</f>
        <v>595548.34876165225</v>
      </c>
      <c r="K26" s="16">
        <f>K24*Assumptions!$D$22*Assumptions!$H$22</f>
        <v>3160334.30214669</v>
      </c>
      <c r="L26" s="16">
        <f>L24*Assumptions!$D$22*Assumptions!$H$22</f>
        <v>1613191.1916397307</v>
      </c>
      <c r="M26" s="16">
        <f>M24*Assumptions!$D$22*Assumptions!$H$22</f>
        <v>2097339.957603808</v>
      </c>
      <c r="N26" s="16">
        <f>N24*Assumptions!$D$22*Assumptions!$H$22</f>
        <v>2726790.7986097694</v>
      </c>
      <c r="O26" s="16">
        <f>O24*Assumptions!$D$22*Assumptions!$H$22</f>
        <v>7284770.2133095851</v>
      </c>
      <c r="P26" s="16">
        <f>P24*Assumptions!$D$22*Assumptions!$H$22</f>
        <v>4916275.7685940489</v>
      </c>
      <c r="Q26" s="16">
        <f>Q24*Assumptions!$D$22*Assumptions!$H$22</f>
        <v>6181889.5009703236</v>
      </c>
      <c r="R26" s="16">
        <f>R24*Assumptions!$D$22*Assumptions!$H$22</f>
        <v>7773314.5171260433</v>
      </c>
      <c r="S26" s="16">
        <f>S24*Assumptions!$D$22*Assumptions!$H$22</f>
        <v>12200925.164177293</v>
      </c>
      <c r="T26" s="16">
        <f>T24*Assumptions!$D$22*Assumptions!$H$22</f>
        <v>9492459.4984376598</v>
      </c>
      <c r="U26" s="16">
        <f>U24*Assumptions!$D$22*Assumptions!$H$22</f>
        <v>11288500.37441721</v>
      </c>
      <c r="V26" s="16">
        <f>V24*Assumptions!$D$22*Assumptions!$H$22</f>
        <v>13424364.962967835</v>
      </c>
    </row>
    <row r="27" spans="1:22" x14ac:dyDescent="0.35">
      <c r="B27" s="9" t="s">
        <v>190</v>
      </c>
      <c r="C27" s="16">
        <f>C23*Assumptions!$D$22*Assumptions!$G$22*3</f>
        <v>0</v>
      </c>
      <c r="D27" s="16">
        <f>D23*Assumptions!$D$22*Assumptions!$G$22*3</f>
        <v>0</v>
      </c>
      <c r="E27" s="16">
        <f>E23*Assumptions!$D$22*Assumptions!$G$22*3</f>
        <v>0</v>
      </c>
      <c r="F27" s="16">
        <f>F23*Assumptions!$D$22*Assumptions!$G$22*3</f>
        <v>0</v>
      </c>
      <c r="G27" s="16">
        <f>G23*Assumptions!$D$22*Assumptions!$G$22*3</f>
        <v>86554.979991607688</v>
      </c>
      <c r="H27" s="16">
        <f>H23*Assumptions!$D$22*Assumptions!$G$22*3</f>
        <v>118388.37825339424</v>
      </c>
      <c r="I27" s="16">
        <f>I23*Assumptions!$D$22*Assumptions!$G$22*3</f>
        <v>161929.54012383477</v>
      </c>
      <c r="J27" s="16">
        <f>J23*Assumptions!$D$22*Assumptions!$G$22*3</f>
        <v>221484.375</v>
      </c>
      <c r="K27" s="16">
        <f>K23*Assumptions!$D$22*Assumptions!$G$22*3</f>
        <v>537517.80521466909</v>
      </c>
      <c r="L27" s="16">
        <f>L23*Assumptions!$D$22*Assumptions!$G$22*3</f>
        <v>698836.92437864211</v>
      </c>
      <c r="M27" s="16">
        <f>M23*Assumptions!$D$22*Assumptions!$G$22*3</f>
        <v>908570.92013902287</v>
      </c>
      <c r="N27" s="16">
        <f>N23*Assumptions!$D$22*Assumptions!$G$22*3</f>
        <v>1181249.9999999998</v>
      </c>
      <c r="O27" s="16">
        <f>O23*Assumptions!$D$22*Assumptions!$G$22*3</f>
        <v>1909727.0213309587</v>
      </c>
      <c r="P27" s="16">
        <f>P23*Assumptions!$D$22*Assumptions!$G$22*3</f>
        <v>2401354.5981903635</v>
      </c>
      <c r="Q27" s="16">
        <f>Q23*Assumptions!$D$22*Assumptions!$G$22*3</f>
        <v>3019543.5482873954</v>
      </c>
      <c r="R27" s="16">
        <f>R23*Assumptions!$D$22*Assumptions!$G$22*3</f>
        <v>3796875</v>
      </c>
      <c r="S27" s="16">
        <f>S23*Assumptions!$D$22*Assumptions!$G$22*3</f>
        <v>5016967.5164177287</v>
      </c>
      <c r="T27" s="16">
        <f>T23*Assumptions!$D$22*Assumptions!$G$22*3</f>
        <v>5966213.4662614958</v>
      </c>
      <c r="U27" s="16">
        <f>U23*Assumptions!$D$22*Assumptions!$G$22*3</f>
        <v>7095063.5037032161</v>
      </c>
      <c r="V27" s="16">
        <f>V23*Assumptions!$D$22*Assumptions!$G$22*3</f>
        <v>8437500</v>
      </c>
    </row>
    <row r="28" spans="1:22" x14ac:dyDescent="0.35">
      <c r="B28" s="9" t="s">
        <v>191</v>
      </c>
      <c r="C28" s="16">
        <f>-C25*Assumptions!$C$14/4</f>
        <v>0</v>
      </c>
      <c r="D28" s="16">
        <f>-D25*Assumptions!$C$14/4</f>
        <v>0</v>
      </c>
      <c r="E28" s="16">
        <f>-E25*Assumptions!$C$14/4</f>
        <v>0</v>
      </c>
      <c r="F28" s="16">
        <f>-F25*Assumptions!$C$14/4</f>
        <v>0</v>
      </c>
      <c r="G28" s="16">
        <f>-G25*Assumptions!$C$14/4</f>
        <v>0</v>
      </c>
      <c r="H28" s="16">
        <f>-H25*Assumptions!$C$14/4</f>
        <v>-19170.39337810966</v>
      </c>
      <c r="I28" s="16">
        <f>-I25*Assumptions!$C$14/4</f>
        <v>-26573.501341959774</v>
      </c>
      <c r="J28" s="16">
        <f>-J25*Assumptions!$C$14/4</f>
        <v>-36673.774296736425</v>
      </c>
      <c r="K28" s="16">
        <f>-K25*Assumptions!$C$14/4</f>
        <v>-50465.036169344057</v>
      </c>
      <c r="L28" s="16">
        <f>-L25*Assumptions!$C$14/4</f>
        <v>-121260.77378474483</v>
      </c>
      <c r="M28" s="16">
        <f>-M25*Assumptions!$C$14/4</f>
        <v>-159019.36186452484</v>
      </c>
      <c r="N28" s="16">
        <f>-N25*Assumptions!$C$14/4</f>
        <v>-208010.94995713222</v>
      </c>
      <c r="O28" s="16">
        <f>-O25*Assumptions!$C$14/4</f>
        <v>-271613.9542148076</v>
      </c>
      <c r="P28" s="16">
        <f>-P25*Assumptions!$C$14/4</f>
        <v>-437046.1177091726</v>
      </c>
      <c r="Q28" s="16">
        <f>-Q25*Assumptions!$C$14/4</f>
        <v>-552691.31144003302</v>
      </c>
      <c r="R28" s="16">
        <f>-R25*Assumptions!$C$14/4</f>
        <v>-697880.10809225996</v>
      </c>
      <c r="S28" s="16">
        <f>-S25*Assumptions!$C$14/4</f>
        <v>-880234.5045164983</v>
      </c>
      <c r="T28" s="16">
        <f>-T25*Assumptions!$C$14/4</f>
        <v>-1163080.1232871632</v>
      </c>
      <c r="U28" s="16">
        <f>-U25*Assumptions!$C$14/4</f>
        <v>-1389993.0422199636</v>
      </c>
      <c r="V28" s="16">
        <f>-V25*Assumptions!$C$14/4</f>
        <v>-1659342.763648622</v>
      </c>
    </row>
    <row r="29" spans="1:22" x14ac:dyDescent="0.35">
      <c r="B29" s="9" t="s">
        <v>192</v>
      </c>
      <c r="C29" s="16">
        <f>-C25*(1-(1-Assumptions!$E$22)^3)</f>
        <v>0</v>
      </c>
      <c r="D29" s="16">
        <f>-D25*(1-(1-Assumptions!$E$22)^3)</f>
        <v>0</v>
      </c>
      <c r="E29" s="16">
        <f>-E25*(1-(1-Assumptions!$E$22)^3)</f>
        <v>0</v>
      </c>
      <c r="F29" s="16">
        <f>-F25*(1-(1-Assumptions!$E$22)^3)</f>
        <v>0</v>
      </c>
      <c r="G29" s="16">
        <f>-G25*(1-(1-Assumptions!$E$22)^3)</f>
        <v>0</v>
      </c>
      <c r="H29" s="16">
        <f>-H25*(1-(1-Assumptions!$E$22)^3)</f>
        <v>-63255.244042073406</v>
      </c>
      <c r="I29" s="16">
        <f>-I25*(1-(1-Assumptions!$E$22)^3)</f>
        <v>-87682.776210395168</v>
      </c>
      <c r="J29" s="16">
        <f>-J25*(1-(1-Assumptions!$E$22)^3)</f>
        <v>-121009.96037634421</v>
      </c>
      <c r="K29" s="16">
        <f>-K25*(1-(1-Assumptions!$E$22)^3)</f>
        <v>-166516.04980255713</v>
      </c>
      <c r="L29" s="16">
        <f>-L25*(1-(1-Assumptions!$E$22)^3)</f>
        <v>-400115.93331430358</v>
      </c>
      <c r="M29" s="16">
        <f>-M25*(1-(1-Assumptions!$E$22)^3)</f>
        <v>-524705.37999711989</v>
      </c>
      <c r="N29" s="16">
        <f>-N25*(1-(1-Assumptions!$E$22)^3)</f>
        <v>-686359.59332929307</v>
      </c>
      <c r="O29" s="16">
        <f>-O25*(1-(1-Assumptions!$E$22)^3)</f>
        <v>-896226.10346164845</v>
      </c>
      <c r="P29" s="16">
        <f>-P25*(1-(1-Assumptions!$E$22)^3)</f>
        <v>-1442091.369126641</v>
      </c>
      <c r="Q29" s="16">
        <f>-Q25*(1-(1-Assumptions!$E$22)^3)</f>
        <v>-1823677.9546210992</v>
      </c>
      <c r="R29" s="16">
        <f>-R25*(1-(1-Assumptions!$E$22)^3)</f>
        <v>-2302747.558633429</v>
      </c>
      <c r="S29" s="16">
        <f>-S25*(1-(1-Assumptions!$E$22)^3)</f>
        <v>-2904449.9661141052</v>
      </c>
      <c r="T29" s="16">
        <f>-T25*(1-(1-Assumptions!$E$22)^3)</f>
        <v>-3837736.4297085158</v>
      </c>
      <c r="U29" s="16">
        <f>-U25*(1-(1-Assumptions!$E$22)^3)</f>
        <v>-4586465.5653236173</v>
      </c>
      <c r="V29" s="16">
        <f>-V25*(1-(1-Assumptions!$E$22)^3)</f>
        <v>-5475220.5337578813</v>
      </c>
    </row>
    <row r="30" spans="1:22" x14ac:dyDescent="0.35">
      <c r="B30" s="9" t="s">
        <v>193</v>
      </c>
      <c r="C30" s="16">
        <f>(C25+(C26+C27)/2)*((1+Assumptions!$C$13)^(1/4)-1)</f>
        <v>0</v>
      </c>
      <c r="D30" s="16">
        <f>(D25+(D26+D27)/2)*((1+Assumptions!$C$13)^(1/4)-1)</f>
        <v>0</v>
      </c>
      <c r="E30" s="16">
        <f>(E25+(E26+E27)/2)*((1+Assumptions!$C$13)^(1/4)-1)</f>
        <v>0</v>
      </c>
      <c r="F30" s="16">
        <f>(F25+(F26+F27)/2)*((1+Assumptions!$C$13)^(1/4)-1)</f>
        <v>0</v>
      </c>
      <c r="G30" s="16">
        <f>(G25+(G26+G27)/2)*((1+Assumptions!$C$13)^(1/4)-1)</f>
        <v>6414.8889977984072</v>
      </c>
      <c r="H30" s="16">
        <f>(H25+(H26+H27)/2)*((1+Assumptions!$C$13)^(1/4)-1)</f>
        <v>15858.674741429089</v>
      </c>
      <c r="I30" s="16">
        <f>(I25+(I26+I27)/2)*((1+Assumptions!$C$13)^(1/4)-1)</f>
        <v>21928.766462947166</v>
      </c>
      <c r="J30" s="16">
        <f>(J25+(J26+J27)/2)*((1+Assumptions!$C$13)^(1/4)-1)</f>
        <v>30214.104541809742</v>
      </c>
      <c r="K30" s="16">
        <f>(K25+(K26+K27)/2)*((1+Assumptions!$C$13)^(1/4)-1)</f>
        <v>58915.859380581271</v>
      </c>
      <c r="L30" s="16">
        <f>(L25+(L26+L27)/2)*((1+Assumptions!$C$13)^(1/4)-1)</f>
        <v>97277.995069676268</v>
      </c>
      <c r="M30" s="16">
        <f>(M25+(M26+M27)/2)*((1+Assumptions!$C$13)^(1/4)-1)</f>
        <v>127393.26874918303</v>
      </c>
      <c r="N30" s="16">
        <f>(N25+(N26+N27)/2)*((1+Assumptions!$C$13)^(1/4)-1)</f>
        <v>166479.95756042525</v>
      </c>
      <c r="O30" s="16">
        <f>(O25+(O26+O27)/2)*((1+Assumptions!$C$13)^(1/4)-1)</f>
        <v>244950.99775416023</v>
      </c>
      <c r="P30" s="16">
        <f>(P25+(P26+P27)/2)*((1+Assumptions!$C$13)^(1/4)-1)</f>
        <v>343766.80659442098</v>
      </c>
      <c r="Q30" s="16">
        <f>(Q25+(Q26+Q27)/2)*((1+Assumptions!$C$13)^(1/4)-1)</f>
        <v>434376.0494147563</v>
      </c>
      <c r="R30" s="16">
        <f>(R25+(R26+R27)/2)*((1+Assumptions!$C$13)^(1/4)-1)</f>
        <v>548157.97081157169</v>
      </c>
      <c r="S30" s="16">
        <f>(S25+(S26+S27)/2)*((1+Assumptions!$C$13)^(1/4)-1)</f>
        <v>709072.72856882703</v>
      </c>
      <c r="T30" s="16">
        <f>(T25+(T26+T27)/2)*((1+Assumptions!$C$13)^(1/4)-1)</f>
        <v>887789.53493653587</v>
      </c>
      <c r="U30" s="16">
        <f>(U25+(U26+U27)/2)*((1+Assumptions!$C$13)^(1/4)-1)</f>
        <v>1060380.8008560641</v>
      </c>
      <c r="V30" s="16">
        <f>(V25+(V26+V27)/2)*((1+Assumptions!$C$13)^(1/4)-1)</f>
        <v>1265292.8818923666</v>
      </c>
    </row>
    <row r="31" spans="1:22" x14ac:dyDescent="0.35">
      <c r="B31" s="7" t="s">
        <v>194</v>
      </c>
      <c r="C31" s="43">
        <f t="shared" ref="C31:V31" si="8">C25+C26+C27+C28+C29+C30</f>
        <v>0</v>
      </c>
      <c r="D31" s="43">
        <f t="shared" si="8"/>
        <v>0</v>
      </c>
      <c r="E31" s="43">
        <f t="shared" si="8"/>
        <v>0</v>
      </c>
      <c r="F31" s="43">
        <f t="shared" si="8"/>
        <v>0</v>
      </c>
      <c r="G31" s="43">
        <f t="shared" si="8"/>
        <v>958519.66890548298</v>
      </c>
      <c r="H31" s="43">
        <f t="shared" si="8"/>
        <v>1328675.0670979887</v>
      </c>
      <c r="I31" s="43">
        <f t="shared" si="8"/>
        <v>1833688.7148368212</v>
      </c>
      <c r="J31" s="43">
        <f t="shared" si="8"/>
        <v>2523251.8084672028</v>
      </c>
      <c r="K31" s="43">
        <f t="shared" si="8"/>
        <v>6063038.6892372416</v>
      </c>
      <c r="L31" s="43">
        <f t="shared" si="8"/>
        <v>7950968.0932262419</v>
      </c>
      <c r="M31" s="43">
        <f t="shared" si="8"/>
        <v>10400547.497856611</v>
      </c>
      <c r="N31" s="43">
        <f t="shared" si="8"/>
        <v>13580697.71074038</v>
      </c>
      <c r="O31" s="43">
        <f t="shared" si="8"/>
        <v>21852305.88545863</v>
      </c>
      <c r="P31" s="43">
        <f t="shared" si="8"/>
        <v>27634565.572001651</v>
      </c>
      <c r="Q31" s="43">
        <f t="shared" si="8"/>
        <v>34894005.404612996</v>
      </c>
      <c r="R31" s="43">
        <f t="shared" si="8"/>
        <v>44011725.225824915</v>
      </c>
      <c r="S31" s="43">
        <f t="shared" si="8"/>
        <v>58154006.164358161</v>
      </c>
      <c r="T31" s="43">
        <f t="shared" si="8"/>
        <v>69499652.110998183</v>
      </c>
      <c r="U31" s="43">
        <f t="shared" si="8"/>
        <v>82967138.182431102</v>
      </c>
      <c r="V31" s="43">
        <f t="shared" si="8"/>
        <v>98959732.729884803</v>
      </c>
    </row>
    <row r="32" spans="1:22" x14ac:dyDescent="0.35">
      <c r="B32" s="9" t="s">
        <v>195</v>
      </c>
      <c r="C32" s="16">
        <f t="shared" ref="C32:V32" si="9">(C25+C31)/2</f>
        <v>0</v>
      </c>
      <c r="D32" s="16">
        <f t="shared" si="9"/>
        <v>0</v>
      </c>
      <c r="E32" s="16">
        <f t="shared" si="9"/>
        <v>0</v>
      </c>
      <c r="F32" s="16">
        <f t="shared" si="9"/>
        <v>0</v>
      </c>
      <c r="G32" s="16">
        <f t="shared" si="9"/>
        <v>479259.83445274149</v>
      </c>
      <c r="H32" s="16">
        <f t="shared" si="9"/>
        <v>1143597.3680017358</v>
      </c>
      <c r="I32" s="16">
        <f t="shared" si="9"/>
        <v>1581181.8909674049</v>
      </c>
      <c r="J32" s="16">
        <f t="shared" si="9"/>
        <v>2178470.2616520119</v>
      </c>
      <c r="K32" s="16">
        <f t="shared" si="9"/>
        <v>4293145.2488522222</v>
      </c>
      <c r="L32" s="16">
        <f t="shared" si="9"/>
        <v>7007003.3912317418</v>
      </c>
      <c r="M32" s="16">
        <f t="shared" si="9"/>
        <v>9175757.7955414262</v>
      </c>
      <c r="N32" s="16">
        <f t="shared" si="9"/>
        <v>11990622.604298495</v>
      </c>
      <c r="O32" s="16">
        <f t="shared" si="9"/>
        <v>17716501.798099503</v>
      </c>
      <c r="P32" s="16">
        <f t="shared" si="9"/>
        <v>24743435.728730142</v>
      </c>
      <c r="Q32" s="16">
        <f t="shared" si="9"/>
        <v>31264285.488307323</v>
      </c>
      <c r="R32" s="16">
        <f t="shared" si="9"/>
        <v>39452865.315218955</v>
      </c>
      <c r="S32" s="16">
        <f t="shared" si="9"/>
        <v>51082865.695091538</v>
      </c>
      <c r="T32" s="16">
        <f t="shared" si="9"/>
        <v>63826829.137678176</v>
      </c>
      <c r="U32" s="16">
        <f t="shared" si="9"/>
        <v>76233395.146714643</v>
      </c>
      <c r="V32" s="16">
        <f t="shared" si="9"/>
        <v>90963435.456157953</v>
      </c>
    </row>
    <row r="33" spans="1:22" x14ac:dyDescent="0.35">
      <c r="B33" s="9" t="s">
        <v>196</v>
      </c>
      <c r="C33" s="16">
        <f t="shared" ref="C33:V33" si="10">IF(C23=0,0,C31/C23)</f>
        <v>0</v>
      </c>
      <c r="D33" s="16">
        <f t="shared" si="10"/>
        <v>0</v>
      </c>
      <c r="E33" s="16">
        <f t="shared" si="10"/>
        <v>0</v>
      </c>
      <c r="F33" s="16">
        <f t="shared" si="10"/>
        <v>0</v>
      </c>
      <c r="G33" s="16">
        <f t="shared" si="10"/>
        <v>1661.117018914025</v>
      </c>
      <c r="H33" s="16">
        <f t="shared" si="10"/>
        <v>1683.4529115528642</v>
      </c>
      <c r="I33" s="16">
        <f t="shared" si="10"/>
        <v>1698.5987054318662</v>
      </c>
      <c r="J33" s="16">
        <f t="shared" si="10"/>
        <v>1708.8689496497459</v>
      </c>
      <c r="K33" s="16">
        <f t="shared" si="10"/>
        <v>1691.954749335933</v>
      </c>
      <c r="L33" s="16">
        <f t="shared" si="10"/>
        <v>1706.6144795430703</v>
      </c>
      <c r="M33" s="16">
        <f t="shared" si="10"/>
        <v>1717.0724817384419</v>
      </c>
      <c r="N33" s="16">
        <f t="shared" si="10"/>
        <v>1724.5330426336993</v>
      </c>
      <c r="O33" s="16">
        <f t="shared" si="10"/>
        <v>1716.3949853599202</v>
      </c>
      <c r="P33" s="16">
        <f t="shared" si="10"/>
        <v>1726.1860613688696</v>
      </c>
      <c r="Q33" s="16">
        <f t="shared" si="10"/>
        <v>1733.4079561994035</v>
      </c>
      <c r="R33" s="16">
        <f t="shared" si="10"/>
        <v>1738.734823736293</v>
      </c>
      <c r="S33" s="16">
        <f t="shared" si="10"/>
        <v>1738.7198334667091</v>
      </c>
      <c r="T33" s="16">
        <f t="shared" si="10"/>
        <v>1747.3306772548538</v>
      </c>
      <c r="U33" s="16">
        <f t="shared" si="10"/>
        <v>1754.04641845264</v>
      </c>
      <c r="V33" s="16">
        <f t="shared" si="10"/>
        <v>1759.2841374201744</v>
      </c>
    </row>
    <row r="35" spans="1:22" ht="16" customHeight="1" x14ac:dyDescent="0.35">
      <c r="A35" s="4" t="s">
        <v>198</v>
      </c>
      <c r="B35" s="5"/>
      <c r="C35" s="5"/>
      <c r="D35" s="5"/>
      <c r="E35" s="5"/>
      <c r="F35" s="5"/>
      <c r="G35" s="5"/>
      <c r="H35" s="5"/>
    </row>
    <row r="36" spans="1:22" x14ac:dyDescent="0.35">
      <c r="B36" s="9" t="s">
        <v>186</v>
      </c>
      <c r="C36" s="40">
        <f>'Consumer Model'!C26*Assumptions!$F$23*INDEX(Assumptions!$C$16:$G$16,1,'Consumer Model'!C$6)</f>
        <v>0</v>
      </c>
      <c r="D36" s="40">
        <f>'Consumer Model'!D26*Assumptions!$F$23*INDEX(Assumptions!$C$16:$G$16,1,'Consumer Model'!D$6)</f>
        <v>0</v>
      </c>
      <c r="E36" s="40">
        <f>'Consumer Model'!E26*Assumptions!$F$23*INDEX(Assumptions!$C$16:$G$16,1,'Consumer Model'!E$6)</f>
        <v>0</v>
      </c>
      <c r="F36" s="40">
        <f>'Consumer Model'!F26*Assumptions!$F$23*INDEX(Assumptions!$C$16:$G$16,1,'Consumer Model'!F$6)</f>
        <v>0</v>
      </c>
      <c r="G36" s="40">
        <f>'Consumer Model'!G26*Assumptions!$F$23*INDEX(Assumptions!$C$16:$G$16,1,'Consumer Model'!G$6)</f>
        <v>184.65062398209639</v>
      </c>
      <c r="H36" s="40">
        <f>'Consumer Model'!H26*Assumptions!$F$23*INDEX(Assumptions!$C$16:$G$16,1,'Consumer Model'!H$6)</f>
        <v>252.56187360724101</v>
      </c>
      <c r="I36" s="40">
        <f>'Consumer Model'!I26*Assumptions!$F$23*INDEX(Assumptions!$C$16:$G$16,1,'Consumer Model'!I$6)</f>
        <v>345.44968559751419</v>
      </c>
      <c r="J36" s="40">
        <f>'Consumer Model'!J26*Assumptions!$F$23*INDEX(Assumptions!$C$16:$G$16,1,'Consumer Model'!J$6)</f>
        <v>472.5</v>
      </c>
      <c r="K36" s="40">
        <f>'Consumer Model'!K26*Assumptions!$F$23*INDEX(Assumptions!$C$16:$G$16,1,'Consumer Model'!K$6)</f>
        <v>1911.1744185410455</v>
      </c>
      <c r="L36" s="40">
        <f>'Consumer Model'!L26*Assumptions!$F$23*INDEX(Assumptions!$C$16:$G$16,1,'Consumer Model'!L$6)</f>
        <v>2484.7535089018388</v>
      </c>
      <c r="M36" s="40">
        <f>'Consumer Model'!M26*Assumptions!$F$23*INDEX(Assumptions!$C$16:$G$16,1,'Consumer Model'!M$6)</f>
        <v>3230.4743827165262</v>
      </c>
      <c r="N36" s="40">
        <f>'Consumer Model'!N26*Assumptions!$F$23*INDEX(Assumptions!$C$16:$G$16,1,'Consumer Model'!N$6)</f>
        <v>4200</v>
      </c>
      <c r="O36" s="40">
        <f>'Consumer Model'!O26*Assumptions!$F$23*INDEX(Assumptions!$C$16:$G$16,1,'Consumer Model'!O$6)</f>
        <v>6790.1405202878523</v>
      </c>
      <c r="P36" s="40">
        <f>'Consumer Model'!P26*Assumptions!$F$23*INDEX(Assumptions!$C$16:$G$16,1,'Consumer Model'!P$6)</f>
        <v>8538.1496824546248</v>
      </c>
      <c r="Q36" s="40">
        <f>'Consumer Model'!Q26*Assumptions!$F$23*INDEX(Assumptions!$C$16:$G$16,1,'Consumer Model'!Q$6)</f>
        <v>10736.154838355184</v>
      </c>
      <c r="R36" s="40">
        <f>'Consumer Model'!R26*Assumptions!$F$23*INDEX(Assumptions!$C$16:$G$16,1,'Consumer Model'!R$6)</f>
        <v>13500</v>
      </c>
      <c r="S36" s="40">
        <f>'Consumer Model'!S26*Assumptions!$F$23*INDEX(Assumptions!$C$16:$G$16,1,'Consumer Model'!S$6)</f>
        <v>17838.106725040816</v>
      </c>
      <c r="T36" s="40">
        <f>'Consumer Model'!T26*Assumptions!$F$23*INDEX(Assumptions!$C$16:$G$16,1,'Consumer Model'!T$6)</f>
        <v>21213.203435596428</v>
      </c>
      <c r="U36" s="40">
        <f>'Consumer Model'!U26*Assumptions!$F$23*INDEX(Assumptions!$C$16:$G$16,1,'Consumer Model'!U$6)</f>
        <v>25226.892457611437</v>
      </c>
      <c r="V36" s="40">
        <f>'Consumer Model'!V26*Assumptions!$F$23*INDEX(Assumptions!$C$16:$G$16,1,'Consumer Model'!V$6)</f>
        <v>30000</v>
      </c>
    </row>
    <row r="37" spans="1:22" x14ac:dyDescent="0.35">
      <c r="B37" s="9" t="s">
        <v>187</v>
      </c>
      <c r="C37" s="40">
        <f>C36</f>
        <v>0</v>
      </c>
      <c r="D37" s="40">
        <f t="shared" ref="D37:V37" si="11">MAX(0,D36-C36)</f>
        <v>0</v>
      </c>
      <c r="E37" s="40">
        <f t="shared" si="11"/>
        <v>0</v>
      </c>
      <c r="F37" s="40">
        <f t="shared" si="11"/>
        <v>0</v>
      </c>
      <c r="G37" s="40">
        <f t="shared" si="11"/>
        <v>184.65062398209639</v>
      </c>
      <c r="H37" s="40">
        <f t="shared" si="11"/>
        <v>67.91124962514462</v>
      </c>
      <c r="I37" s="40">
        <f t="shared" si="11"/>
        <v>92.887811990273178</v>
      </c>
      <c r="J37" s="40">
        <f t="shared" si="11"/>
        <v>127.05031440248581</v>
      </c>
      <c r="K37" s="40">
        <f t="shared" si="11"/>
        <v>1438.6744185410455</v>
      </c>
      <c r="L37" s="40">
        <f t="shared" si="11"/>
        <v>573.57909036079332</v>
      </c>
      <c r="M37" s="40">
        <f t="shared" si="11"/>
        <v>745.72087381468737</v>
      </c>
      <c r="N37" s="40">
        <f t="shared" si="11"/>
        <v>969.52561728347382</v>
      </c>
      <c r="O37" s="40">
        <f t="shared" si="11"/>
        <v>2590.1405202878523</v>
      </c>
      <c r="P37" s="40">
        <f t="shared" si="11"/>
        <v>1748.0091621667725</v>
      </c>
      <c r="Q37" s="40">
        <f t="shared" si="11"/>
        <v>2198.0051559005587</v>
      </c>
      <c r="R37" s="40">
        <f t="shared" si="11"/>
        <v>2763.8451616448165</v>
      </c>
      <c r="S37" s="40">
        <f t="shared" si="11"/>
        <v>4338.1067250408159</v>
      </c>
      <c r="T37" s="40">
        <f t="shared" si="11"/>
        <v>3375.0967105556119</v>
      </c>
      <c r="U37" s="40">
        <f t="shared" si="11"/>
        <v>4013.689022015009</v>
      </c>
      <c r="V37" s="40">
        <f t="shared" si="11"/>
        <v>4773.1075423885632</v>
      </c>
    </row>
    <row r="38" spans="1:22" x14ac:dyDescent="0.35">
      <c r="B38" s="9" t="s">
        <v>188</v>
      </c>
      <c r="C38" s="16">
        <f>0</f>
        <v>0</v>
      </c>
      <c r="D38" s="16">
        <f t="shared" ref="D38:V38" si="12">C44</f>
        <v>0</v>
      </c>
      <c r="E38" s="16">
        <f t="shared" si="12"/>
        <v>0</v>
      </c>
      <c r="F38" s="16">
        <f t="shared" si="12"/>
        <v>0</v>
      </c>
      <c r="G38" s="16">
        <f t="shared" si="12"/>
        <v>0</v>
      </c>
      <c r="H38" s="16">
        <f t="shared" si="12"/>
        <v>849306.51875140367</v>
      </c>
      <c r="I38" s="16">
        <f t="shared" si="12"/>
        <v>1183926.3339044317</v>
      </c>
      <c r="J38" s="16">
        <f t="shared" si="12"/>
        <v>1640643.83360158</v>
      </c>
      <c r="K38" s="16">
        <f t="shared" si="12"/>
        <v>2264406.6308910525</v>
      </c>
      <c r="L38" s="16">
        <f t="shared" si="12"/>
        <v>8934627.1922306195</v>
      </c>
      <c r="M38" s="16">
        <f t="shared" si="12"/>
        <v>11796939.322454613</v>
      </c>
      <c r="N38" s="16">
        <f t="shared" si="12"/>
        <v>15510406.637775516</v>
      </c>
      <c r="O38" s="16">
        <f t="shared" si="12"/>
        <v>20330819.838385481</v>
      </c>
      <c r="P38" s="16">
        <f t="shared" si="12"/>
        <v>32706454.467883237</v>
      </c>
      <c r="Q38" s="16">
        <f t="shared" si="12"/>
        <v>41500790.315196685</v>
      </c>
      <c r="R38" s="16">
        <f t="shared" si="12"/>
        <v>52542765.315970622</v>
      </c>
      <c r="S38" s="16">
        <f t="shared" si="12"/>
        <v>66411707.657536559</v>
      </c>
      <c r="T38" s="16">
        <f t="shared" si="12"/>
        <v>87804324.497041404</v>
      </c>
      <c r="U38" s="16">
        <f t="shared" si="12"/>
        <v>105227813.46439689</v>
      </c>
      <c r="V38" s="16">
        <f t="shared" si="12"/>
        <v>125912656.0497787</v>
      </c>
    </row>
    <row r="39" spans="1:22" x14ac:dyDescent="0.35">
      <c r="B39" s="9" t="s">
        <v>189</v>
      </c>
      <c r="C39" s="16">
        <f>C37*Assumptions!$D$23*Assumptions!$H$23</f>
        <v>0</v>
      </c>
      <c r="D39" s="16">
        <f>D37*Assumptions!$D$23*Assumptions!$H$23</f>
        <v>0</v>
      </c>
      <c r="E39" s="16">
        <f>E37*Assumptions!$D$23*Assumptions!$H$23</f>
        <v>0</v>
      </c>
      <c r="F39" s="16">
        <f>F37*Assumptions!$D$23*Assumptions!$H$23</f>
        <v>0</v>
      </c>
      <c r="G39" s="16">
        <f>G37*Assumptions!$D$23*Assumptions!$H$23</f>
        <v>784765.15192390967</v>
      </c>
      <c r="H39" s="16">
        <f>H37*Assumptions!$D$23*Assumptions!$H$23</f>
        <v>288622.81090686464</v>
      </c>
      <c r="I39" s="16">
        <f>I37*Assumptions!$D$23*Assumptions!$H$23</f>
        <v>394773.20095866104</v>
      </c>
      <c r="J39" s="16">
        <f>J37*Assumptions!$D$23*Assumptions!$H$23</f>
        <v>539963.83621056471</v>
      </c>
      <c r="K39" s="16">
        <f>K37*Assumptions!$D$23*Assumptions!$H$23</f>
        <v>6114366.2787994435</v>
      </c>
      <c r="L39" s="16">
        <f>L37*Assumptions!$D$23*Assumptions!$H$23</f>
        <v>2437711.1340333717</v>
      </c>
      <c r="M39" s="16">
        <f>M37*Assumptions!$D$23*Assumptions!$H$23</f>
        <v>3169313.7137124212</v>
      </c>
      <c r="N39" s="16">
        <f>N37*Assumptions!$D$23*Assumptions!$H$23</f>
        <v>4120483.8734547636</v>
      </c>
      <c r="O39" s="16">
        <f>O37*Assumptions!$D$23*Assumptions!$H$23</f>
        <v>11008097.211223371</v>
      </c>
      <c r="P39" s="16">
        <f>P37*Assumptions!$D$23*Assumptions!$H$23</f>
        <v>7429038.9392087832</v>
      </c>
      <c r="Q39" s="16">
        <f>Q37*Assumptions!$D$23*Assumptions!$H$23</f>
        <v>9341521.9125773739</v>
      </c>
      <c r="R39" s="16">
        <f>R37*Assumptions!$D$23*Assumptions!$H$23</f>
        <v>11746341.93699047</v>
      </c>
      <c r="S39" s="16">
        <f>S37*Assumptions!$D$23*Assumptions!$H$23</f>
        <v>18436953.581423469</v>
      </c>
      <c r="T39" s="16">
        <f>T37*Assumptions!$D$23*Assumptions!$H$23</f>
        <v>14344161.01986135</v>
      </c>
      <c r="U39" s="16">
        <f>U37*Assumptions!$D$23*Assumptions!$H$23</f>
        <v>17058178.343563788</v>
      </c>
      <c r="V39" s="16">
        <f>V37*Assumptions!$D$23*Assumptions!$H$23</f>
        <v>20285707.055151392</v>
      </c>
    </row>
    <row r="40" spans="1:22" x14ac:dyDescent="0.35">
      <c r="B40" s="9" t="s">
        <v>190</v>
      </c>
      <c r="C40" s="16">
        <f>C36*Assumptions!$D$23*Assumptions!$G$23*3</f>
        <v>0</v>
      </c>
      <c r="D40" s="16">
        <f>D36*Assumptions!$D$23*Assumptions!$G$23*3</f>
        <v>0</v>
      </c>
      <c r="E40" s="16">
        <f>E36*Assumptions!$D$23*Assumptions!$G$23*3</f>
        <v>0</v>
      </c>
      <c r="F40" s="16">
        <f>F36*Assumptions!$D$23*Assumptions!$G$23*3</f>
        <v>0</v>
      </c>
      <c r="G40" s="16">
        <f>G36*Assumptions!$D$23*Assumptions!$G$23*3</f>
        <v>58857.386394293229</v>
      </c>
      <c r="H40" s="16">
        <f>H36*Assumptions!$D$23*Assumptions!$G$23*3</f>
        <v>80504.097212308072</v>
      </c>
      <c r="I40" s="16">
        <f>I36*Assumptions!$D$23*Assumptions!$G$23*3</f>
        <v>110112.08728420764</v>
      </c>
      <c r="J40" s="16">
        <f>J36*Assumptions!$D$23*Assumptions!$G$23*3</f>
        <v>150609.375</v>
      </c>
      <c r="K40" s="16">
        <f>K36*Assumptions!$D$23*Assumptions!$G$23*3</f>
        <v>609186.84590995824</v>
      </c>
      <c r="L40" s="16">
        <f>L36*Assumptions!$D$23*Assumptions!$G$23*3</f>
        <v>792015.18096246105</v>
      </c>
      <c r="M40" s="16">
        <f>M36*Assumptions!$D$23*Assumptions!$G$23*3</f>
        <v>1029713.7094908927</v>
      </c>
      <c r="N40" s="16">
        <f>N36*Assumptions!$D$23*Assumptions!$G$23*3</f>
        <v>1338750</v>
      </c>
      <c r="O40" s="16">
        <f>O36*Assumptions!$D$23*Assumptions!$G$23*3</f>
        <v>2164357.2908417531</v>
      </c>
      <c r="P40" s="16">
        <f>P36*Assumptions!$D$23*Assumptions!$G$23*3</f>
        <v>2721535.2112824116</v>
      </c>
      <c r="Q40" s="16">
        <f>Q36*Assumptions!$D$23*Assumptions!$G$23*3</f>
        <v>3422149.3547257148</v>
      </c>
      <c r="R40" s="16">
        <f>R36*Assumptions!$D$23*Assumptions!$G$23*3</f>
        <v>4303125</v>
      </c>
      <c r="S40" s="16">
        <f>S36*Assumptions!$D$23*Assumptions!$G$23*3</f>
        <v>5685896.5186067596</v>
      </c>
      <c r="T40" s="16">
        <f>T36*Assumptions!$D$23*Assumptions!$G$23*3</f>
        <v>6761708.5950963618</v>
      </c>
      <c r="U40" s="16">
        <f>U36*Assumptions!$D$23*Assumptions!$G$23*3</f>
        <v>8041071.9708636459</v>
      </c>
      <c r="V40" s="16">
        <f>V36*Assumptions!$D$23*Assumptions!$G$23*3</f>
        <v>9562500</v>
      </c>
    </row>
    <row r="41" spans="1:22" x14ac:dyDescent="0.35">
      <c r="B41" s="9" t="s">
        <v>191</v>
      </c>
      <c r="C41" s="16">
        <f>-C38*Assumptions!$C$14/4</f>
        <v>0</v>
      </c>
      <c r="D41" s="16">
        <f>-D38*Assumptions!$C$14/4</f>
        <v>0</v>
      </c>
      <c r="E41" s="16">
        <f>-E38*Assumptions!$C$14/4</f>
        <v>0</v>
      </c>
      <c r="F41" s="16">
        <f>-F38*Assumptions!$C$14/4</f>
        <v>0</v>
      </c>
      <c r="G41" s="16">
        <f>-G38*Assumptions!$C$14/4</f>
        <v>0</v>
      </c>
      <c r="H41" s="16">
        <f>-H38*Assumptions!$C$14/4</f>
        <v>-16986.130375028075</v>
      </c>
      <c r="I41" s="16">
        <f>-I38*Assumptions!$C$14/4</f>
        <v>-23678.526678088634</v>
      </c>
      <c r="J41" s="16">
        <f>-J38*Assumptions!$C$14/4</f>
        <v>-32812.876672031598</v>
      </c>
      <c r="K41" s="16">
        <f>-K38*Assumptions!$C$14/4</f>
        <v>-45288.132617821051</v>
      </c>
      <c r="L41" s="16">
        <f>-L38*Assumptions!$C$14/4</f>
        <v>-178692.5438446124</v>
      </c>
      <c r="M41" s="16">
        <f>-M38*Assumptions!$C$14/4</f>
        <v>-235938.78644909227</v>
      </c>
      <c r="N41" s="16">
        <f>-N38*Assumptions!$C$14/4</f>
        <v>-310208.13275551033</v>
      </c>
      <c r="O41" s="16">
        <f>-O38*Assumptions!$C$14/4</f>
        <v>-406616.39676770964</v>
      </c>
      <c r="P41" s="16">
        <f>-P38*Assumptions!$C$14/4</f>
        <v>-654129.08935766469</v>
      </c>
      <c r="Q41" s="16">
        <f>-Q38*Assumptions!$C$14/4</f>
        <v>-830015.80630393373</v>
      </c>
      <c r="R41" s="16">
        <f>-R38*Assumptions!$C$14/4</f>
        <v>-1050855.3063194125</v>
      </c>
      <c r="S41" s="16">
        <f>-S38*Assumptions!$C$14/4</f>
        <v>-1328234.1531507312</v>
      </c>
      <c r="T41" s="16">
        <f>-T38*Assumptions!$C$14/4</f>
        <v>-1756086.4899408282</v>
      </c>
      <c r="U41" s="16">
        <f>-U38*Assumptions!$C$14/4</f>
        <v>-2104556.2692879378</v>
      </c>
      <c r="V41" s="16">
        <f>-V38*Assumptions!$C$14/4</f>
        <v>-2518253.1209955742</v>
      </c>
    </row>
    <row r="42" spans="1:22" x14ac:dyDescent="0.35">
      <c r="B42" s="9" t="s">
        <v>192</v>
      </c>
      <c r="C42" s="16">
        <f>-C38*(1-(1-Assumptions!$E$23)^3)</f>
        <v>0</v>
      </c>
      <c r="D42" s="16">
        <f>-D38*(1-(1-Assumptions!$E$23)^3)</f>
        <v>0</v>
      </c>
      <c r="E42" s="16">
        <f>-E38*(1-(1-Assumptions!$E$23)^3)</f>
        <v>0</v>
      </c>
      <c r="F42" s="16">
        <f>-F38*(1-(1-Assumptions!$E$23)^3)</f>
        <v>0</v>
      </c>
      <c r="G42" s="16">
        <f>-G38*(1-(1-Assumptions!$E$23)^3)</f>
        <v>0</v>
      </c>
      <c r="H42" s="16">
        <f>-H38*(1-(1-Assumptions!$E$23)^3)</f>
        <v>-31452.540824307282</v>
      </c>
      <c r="I42" s="16">
        <f>-I38*(1-(1-Assumptions!$E$23)^3)</f>
        <v>-43844.584408519288</v>
      </c>
      <c r="J42" s="16">
        <f>-J38*(1-(1-Assumptions!$E$23)^3)</f>
        <v>-60758.296345545874</v>
      </c>
      <c r="K42" s="16">
        <f>-K38*(1-(1-Assumptions!$E$23)^3)</f>
        <v>-83858.230719385057</v>
      </c>
      <c r="L42" s="16">
        <f>-L38*(1-(1-Assumptions!$E$23)^3)</f>
        <v>-330877.86365602416</v>
      </c>
      <c r="M42" s="16">
        <f>-M38*(1-(1-Assumptions!$E$23)^3)</f>
        <v>-436878.45018176053</v>
      </c>
      <c r="N42" s="16">
        <f>-N38*(1-(1-Assumptions!$E$23)^3)</f>
        <v>-574400.03956808767</v>
      </c>
      <c r="O42" s="16">
        <f>-O38*(1-(1-Assumptions!$E$23)^3)</f>
        <v>-752915.3807727074</v>
      </c>
      <c r="P42" s="16">
        <f>-P38*(1-(1-Assumptions!$E$23)^3)</f>
        <v>-1211224.7718076808</v>
      </c>
      <c r="Q42" s="16">
        <f>-Q38*(1-(1-Assumptions!$E$23)^3)</f>
        <v>-1536907.197590708</v>
      </c>
      <c r="R42" s="16">
        <f>-R38*(1-(1-Assumptions!$E$23)^3)</f>
        <v>-1945826.9006955402</v>
      </c>
      <c r="S42" s="16">
        <f>-S38*(1-(1-Assumptions!$E$23)^3)</f>
        <v>-2459438.2595596635</v>
      </c>
      <c r="T42" s="16">
        <f>-T38*(1-(1-Assumptions!$E$23)^3)</f>
        <v>-3251675.3843523404</v>
      </c>
      <c r="U42" s="16">
        <f>-U38*(1-(1-Assumptions!$E$23)^3)</f>
        <v>-3896922.9904266112</v>
      </c>
      <c r="V42" s="16">
        <f>-V38*(1-(1-Assumptions!$E$23)^3)</f>
        <v>-4662948.9674997041</v>
      </c>
    </row>
    <row r="43" spans="1:22" x14ac:dyDescent="0.35">
      <c r="B43" s="9" t="s">
        <v>193</v>
      </c>
      <c r="C43" s="16">
        <f>(C38+(C39+C40)/2)*((1+Assumptions!$C$13)^(1/4)-1)</f>
        <v>0</v>
      </c>
      <c r="D43" s="16">
        <f>(D38+(D39+D40)/2)*((1+Assumptions!$C$13)^(1/4)-1)</f>
        <v>0</v>
      </c>
      <c r="E43" s="16">
        <f>(E38+(E39+E40)/2)*((1+Assumptions!$C$13)^(1/4)-1)</f>
        <v>0</v>
      </c>
      <c r="F43" s="16">
        <f>(F38+(F39+F40)/2)*((1+Assumptions!$C$13)^(1/4)-1)</f>
        <v>0</v>
      </c>
      <c r="G43" s="16">
        <f>(G38+(G39+G40)/2)*((1+Assumptions!$C$13)^(1/4)-1)</f>
        <v>5683.9804332007707</v>
      </c>
      <c r="H43" s="16">
        <f>(H38+(H39+H40)/2)*((1+Assumptions!$C$13)^(1/4)-1)</f>
        <v>13931.578233190696</v>
      </c>
      <c r="I43" s="16">
        <f>(I38+(I39+I40)/2)*((1+Assumptions!$C$13)^(1/4)-1)</f>
        <v>19355.322540887712</v>
      </c>
      <c r="J43" s="16">
        <f>(J38+(J39+J40)/2)*((1+Assumptions!$C$13)^(1/4)-1)</f>
        <v>26760.759096485737</v>
      </c>
      <c r="K43" s="16">
        <f>(K38+(K39+K40)/2)*((1+Assumptions!$C$13)^(1/4)-1)</f>
        <v>75813.799967373096</v>
      </c>
      <c r="L43" s="16">
        <f>(L38+(L39+L40)/2)*((1+Assumptions!$C$13)^(1/4)-1)</f>
        <v>142156.22272879601</v>
      </c>
      <c r="M43" s="16">
        <f>(M38+(M39+M40)/2)*((1+Assumptions!$C$13)^(1/4)-1)</f>
        <v>187257.12874844135</v>
      </c>
      <c r="N43" s="16">
        <f>(N38+(N39+N40)/2)*((1+Assumptions!$C$13)^(1/4)-1)</f>
        <v>245787.49947880147</v>
      </c>
      <c r="O43" s="16">
        <f>(O38+(O39+O40)/2)*((1+Assumptions!$C$13)^(1/4)-1)</f>
        <v>362711.90497304592</v>
      </c>
      <c r="P43" s="16">
        <f>(P38+(P39+P40)/2)*((1+Assumptions!$C$13)^(1/4)-1)</f>
        <v>509115.55798759835</v>
      </c>
      <c r="Q43" s="16">
        <f>(Q38+(Q39+Q40)/2)*((1+Assumptions!$C$13)^(1/4)-1)</f>
        <v>645226.73736549297</v>
      </c>
      <c r="R43" s="16">
        <f>(R38+(R39+R40)/2)*((1+Assumptions!$C$13)^(1/4)-1)</f>
        <v>816157.61159041838</v>
      </c>
      <c r="S43" s="16">
        <f>(S38+(S39+S40)/2)*((1+Assumptions!$C$13)^(1/4)-1)</f>
        <v>1057439.1521850284</v>
      </c>
      <c r="T43" s="16">
        <f>(T38+(T39+T40)/2)*((1+Assumptions!$C$13)^(1/4)-1)</f>
        <v>1325381.2266909292</v>
      </c>
      <c r="U43" s="16">
        <f>(U38+(U39+U40)/2)*((1+Assumptions!$C$13)^(1/4)-1)</f>
        <v>1587071.5306689306</v>
      </c>
      <c r="V43" s="16">
        <f>(V38+(V39+V40)/2)*((1+Assumptions!$C$13)^(1/4)-1)</f>
        <v>1897799.9030441761</v>
      </c>
    </row>
    <row r="44" spans="1:22" x14ac:dyDescent="0.35">
      <c r="B44" s="7" t="s">
        <v>194</v>
      </c>
      <c r="C44" s="43">
        <f t="shared" ref="C44:V44" si="13">C38+C39+C40+C41+C42+C43</f>
        <v>0</v>
      </c>
      <c r="D44" s="43">
        <f t="shared" si="13"/>
        <v>0</v>
      </c>
      <c r="E44" s="43">
        <f t="shared" si="13"/>
        <v>0</v>
      </c>
      <c r="F44" s="43">
        <f t="shared" si="13"/>
        <v>0</v>
      </c>
      <c r="G44" s="43">
        <f t="shared" si="13"/>
        <v>849306.51875140367</v>
      </c>
      <c r="H44" s="43">
        <f t="shared" si="13"/>
        <v>1183926.3339044317</v>
      </c>
      <c r="I44" s="43">
        <f t="shared" si="13"/>
        <v>1640643.83360158</v>
      </c>
      <c r="J44" s="43">
        <f t="shared" si="13"/>
        <v>2264406.6308910525</v>
      </c>
      <c r="K44" s="43">
        <f t="shared" si="13"/>
        <v>8934627.1922306195</v>
      </c>
      <c r="L44" s="43">
        <f t="shared" si="13"/>
        <v>11796939.322454613</v>
      </c>
      <c r="M44" s="43">
        <f t="shared" si="13"/>
        <v>15510406.637775516</v>
      </c>
      <c r="N44" s="43">
        <f t="shared" si="13"/>
        <v>20330819.838385481</v>
      </c>
      <c r="O44" s="43">
        <f t="shared" si="13"/>
        <v>32706454.467883237</v>
      </c>
      <c r="P44" s="43">
        <f t="shared" si="13"/>
        <v>41500790.315196685</v>
      </c>
      <c r="Q44" s="43">
        <f t="shared" si="13"/>
        <v>52542765.315970622</v>
      </c>
      <c r="R44" s="43">
        <f t="shared" si="13"/>
        <v>66411707.657536559</v>
      </c>
      <c r="S44" s="43">
        <f t="shared" si="13"/>
        <v>87804324.497041404</v>
      </c>
      <c r="T44" s="43">
        <f t="shared" si="13"/>
        <v>105227813.46439689</v>
      </c>
      <c r="U44" s="43">
        <f t="shared" si="13"/>
        <v>125912656.0497787</v>
      </c>
      <c r="V44" s="43">
        <f t="shared" si="13"/>
        <v>150477460.91947898</v>
      </c>
    </row>
    <row r="45" spans="1:22" x14ac:dyDescent="0.35">
      <c r="B45" s="9" t="s">
        <v>195</v>
      </c>
      <c r="C45" s="16">
        <f t="shared" ref="C45:V45" si="14">(C38+C44)/2</f>
        <v>0</v>
      </c>
      <c r="D45" s="16">
        <f t="shared" si="14"/>
        <v>0</v>
      </c>
      <c r="E45" s="16">
        <f t="shared" si="14"/>
        <v>0</v>
      </c>
      <c r="F45" s="16">
        <f t="shared" si="14"/>
        <v>0</v>
      </c>
      <c r="G45" s="16">
        <f t="shared" si="14"/>
        <v>424653.25937570183</v>
      </c>
      <c r="H45" s="16">
        <f t="shared" si="14"/>
        <v>1016616.4263279177</v>
      </c>
      <c r="I45" s="16">
        <f t="shared" si="14"/>
        <v>1412285.0837530058</v>
      </c>
      <c r="J45" s="16">
        <f t="shared" si="14"/>
        <v>1952525.2322463163</v>
      </c>
      <c r="K45" s="16">
        <f t="shared" si="14"/>
        <v>5599516.9115608362</v>
      </c>
      <c r="L45" s="16">
        <f t="shared" si="14"/>
        <v>10365783.257342616</v>
      </c>
      <c r="M45" s="16">
        <f t="shared" si="14"/>
        <v>13653672.980115063</v>
      </c>
      <c r="N45" s="16">
        <f t="shared" si="14"/>
        <v>17920613.238080498</v>
      </c>
      <c r="O45" s="16">
        <f t="shared" si="14"/>
        <v>26518637.153134361</v>
      </c>
      <c r="P45" s="16">
        <f t="shared" si="14"/>
        <v>37103622.391539961</v>
      </c>
      <c r="Q45" s="16">
        <f t="shared" si="14"/>
        <v>47021777.815583654</v>
      </c>
      <c r="R45" s="16">
        <f t="shared" si="14"/>
        <v>59477236.48675359</v>
      </c>
      <c r="S45" s="16">
        <f t="shared" si="14"/>
        <v>77108016.077288985</v>
      </c>
      <c r="T45" s="16">
        <f t="shared" si="14"/>
        <v>96516068.980719149</v>
      </c>
      <c r="U45" s="16">
        <f t="shared" si="14"/>
        <v>115570234.7570878</v>
      </c>
      <c r="V45" s="16">
        <f t="shared" si="14"/>
        <v>138195058.48462886</v>
      </c>
    </row>
    <row r="46" spans="1:22" x14ac:dyDescent="0.35">
      <c r="B46" s="9" t="s">
        <v>196</v>
      </c>
      <c r="C46" s="16">
        <f t="shared" ref="C46:V46" si="15">IF(C36=0,0,C44/C36)</f>
        <v>0</v>
      </c>
      <c r="D46" s="16">
        <f t="shared" si="15"/>
        <v>0</v>
      </c>
      <c r="E46" s="16">
        <f t="shared" si="15"/>
        <v>0</v>
      </c>
      <c r="F46" s="16">
        <f t="shared" si="15"/>
        <v>0</v>
      </c>
      <c r="G46" s="16">
        <f t="shared" si="15"/>
        <v>4599.5323516142134</v>
      </c>
      <c r="H46" s="16">
        <f t="shared" si="15"/>
        <v>4687.6684789944011</v>
      </c>
      <c r="I46" s="16">
        <f t="shared" si="15"/>
        <v>4749.2989630712982</v>
      </c>
      <c r="J46" s="16">
        <f t="shared" si="15"/>
        <v>4792.3949860128096</v>
      </c>
      <c r="K46" s="16">
        <f t="shared" si="15"/>
        <v>4674.9407618437808</v>
      </c>
      <c r="L46" s="16">
        <f t="shared" si="15"/>
        <v>4747.7302195936472</v>
      </c>
      <c r="M46" s="16">
        <f t="shared" si="15"/>
        <v>4801.278326414933</v>
      </c>
      <c r="N46" s="16">
        <f t="shared" si="15"/>
        <v>4840.6713900917812</v>
      </c>
      <c r="O46" s="16">
        <f t="shared" si="15"/>
        <v>4816.7566444555296</v>
      </c>
      <c r="P46" s="16">
        <f t="shared" si="15"/>
        <v>4860.6304478918037</v>
      </c>
      <c r="Q46" s="16">
        <f t="shared" si="15"/>
        <v>4894.00219231752</v>
      </c>
      <c r="R46" s="16">
        <f t="shared" si="15"/>
        <v>4919.3857524101159</v>
      </c>
      <c r="S46" s="16">
        <f t="shared" si="15"/>
        <v>4922.289447555735</v>
      </c>
      <c r="T46" s="16">
        <f t="shared" si="15"/>
        <v>4960.4866980072084</v>
      </c>
      <c r="U46" s="16">
        <f t="shared" si="15"/>
        <v>4991.2075481095744</v>
      </c>
      <c r="V46" s="16">
        <f t="shared" si="15"/>
        <v>5015.9153639826327</v>
      </c>
    </row>
    <row r="48" spans="1:22" ht="16" customHeight="1" x14ac:dyDescent="0.35">
      <c r="A48" s="4" t="s">
        <v>199</v>
      </c>
      <c r="B48" s="5"/>
      <c r="C48" s="5"/>
      <c r="D48" s="5"/>
      <c r="E48" s="5"/>
      <c r="F48" s="5"/>
      <c r="G48" s="5"/>
      <c r="H48" s="5"/>
    </row>
    <row r="49" spans="1:22" x14ac:dyDescent="0.35">
      <c r="B49" s="9" t="s">
        <v>186</v>
      </c>
      <c r="C49" s="40">
        <f>'Consumer Model'!C27*Assumptions!$F$24*INDEX(Assumptions!$C$16:$G$16,1,'Consumer Model'!C$6)</f>
        <v>0</v>
      </c>
      <c r="D49" s="40">
        <f>'Consumer Model'!D27*Assumptions!$F$24*INDEX(Assumptions!$C$16:$G$16,1,'Consumer Model'!D$6)</f>
        <v>0</v>
      </c>
      <c r="E49" s="40">
        <f>'Consumer Model'!E27*Assumptions!$F$24*INDEX(Assumptions!$C$16:$G$16,1,'Consumer Model'!E$6)</f>
        <v>0</v>
      </c>
      <c r="F49" s="40">
        <f>'Consumer Model'!F27*Assumptions!$F$24*INDEX(Assumptions!$C$16:$G$16,1,'Consumer Model'!F$6)</f>
        <v>0</v>
      </c>
      <c r="G49" s="40">
        <f>'Consumer Model'!G27*Assumptions!$F$24*INDEX(Assumptions!$C$16:$G$16,1,'Consumer Model'!G$6)</f>
        <v>323.13859196866861</v>
      </c>
      <c r="H49" s="40">
        <f>'Consumer Model'!H27*Assumptions!$F$24*INDEX(Assumptions!$C$16:$G$16,1,'Consumer Model'!H$6)</f>
        <v>441.9832788126717</v>
      </c>
      <c r="I49" s="40">
        <f>'Consumer Model'!I27*Assumptions!$F$24*INDEX(Assumptions!$C$16:$G$16,1,'Consumer Model'!I$6)</f>
        <v>604.53694979564978</v>
      </c>
      <c r="J49" s="40">
        <f>'Consumer Model'!J27*Assumptions!$F$24*INDEX(Assumptions!$C$16:$G$16,1,'Consumer Model'!J$6)</f>
        <v>826.87499999999989</v>
      </c>
      <c r="K49" s="40">
        <f>'Consumer Model'!K27*Assumptions!$F$24*INDEX(Assumptions!$C$16:$G$16,1,'Consumer Model'!K$6)</f>
        <v>1114.851744148943</v>
      </c>
      <c r="L49" s="40">
        <f>'Consumer Model'!L27*Assumptions!$F$24*INDEX(Assumptions!$C$16:$G$16,1,'Consumer Model'!L$6)</f>
        <v>1449.4395468594059</v>
      </c>
      <c r="M49" s="40">
        <f>'Consumer Model'!M27*Assumptions!$F$24*INDEX(Assumptions!$C$16:$G$16,1,'Consumer Model'!M$6)</f>
        <v>1884.4433899179733</v>
      </c>
      <c r="N49" s="40">
        <f>'Consumer Model'!N27*Assumptions!$F$24*INDEX(Assumptions!$C$16:$G$16,1,'Consumer Model'!N$6)</f>
        <v>2450</v>
      </c>
      <c r="O49" s="40">
        <f>'Consumer Model'!O27*Assumptions!$F$24*INDEX(Assumptions!$C$16:$G$16,1,'Consumer Model'!O$6)</f>
        <v>3960.9153035012469</v>
      </c>
      <c r="P49" s="40">
        <f>'Consumer Model'!P27*Assumptions!$F$24*INDEX(Assumptions!$C$16:$G$16,1,'Consumer Model'!P$6)</f>
        <v>4980.5873147651982</v>
      </c>
      <c r="Q49" s="40">
        <f>'Consumer Model'!Q27*Assumptions!$F$24*INDEX(Assumptions!$C$16:$G$16,1,'Consumer Model'!Q$6)</f>
        <v>6262.7569890405248</v>
      </c>
      <c r="R49" s="40">
        <f>'Consumer Model'!R27*Assumptions!$F$24*INDEX(Assumptions!$C$16:$G$16,1,'Consumer Model'!R$6)</f>
        <v>7875</v>
      </c>
      <c r="S49" s="40">
        <f>'Consumer Model'!S27*Assumptions!$F$24*INDEX(Assumptions!$C$16:$G$16,1,'Consumer Model'!S$6)</f>
        <v>10405.56225627381</v>
      </c>
      <c r="T49" s="40">
        <f>'Consumer Model'!T27*Assumptions!$F$24*INDEX(Assumptions!$C$16:$G$16,1,'Consumer Model'!T$6)</f>
        <v>12374.368670764583</v>
      </c>
      <c r="U49" s="40">
        <f>'Consumer Model'!U27*Assumptions!$F$24*INDEX(Assumptions!$C$16:$G$16,1,'Consumer Model'!U$6)</f>
        <v>14715.687266940005</v>
      </c>
      <c r="V49" s="40">
        <f>'Consumer Model'!V27*Assumptions!$F$24*INDEX(Assumptions!$C$16:$G$16,1,'Consumer Model'!V$6)</f>
        <v>17500</v>
      </c>
    </row>
    <row r="50" spans="1:22" x14ac:dyDescent="0.35">
      <c r="B50" s="9" t="s">
        <v>187</v>
      </c>
      <c r="C50" s="40">
        <f>C49</f>
        <v>0</v>
      </c>
      <c r="D50" s="40">
        <f t="shared" ref="D50:V50" si="16">MAX(0,D49-C49)</f>
        <v>0</v>
      </c>
      <c r="E50" s="40">
        <f t="shared" si="16"/>
        <v>0</v>
      </c>
      <c r="F50" s="40">
        <f t="shared" si="16"/>
        <v>0</v>
      </c>
      <c r="G50" s="40">
        <f t="shared" si="16"/>
        <v>323.13859196866861</v>
      </c>
      <c r="H50" s="40">
        <f t="shared" si="16"/>
        <v>118.84468684400309</v>
      </c>
      <c r="I50" s="40">
        <f t="shared" si="16"/>
        <v>162.55367098297808</v>
      </c>
      <c r="J50" s="40">
        <f t="shared" si="16"/>
        <v>222.33805020435011</v>
      </c>
      <c r="K50" s="40">
        <f t="shared" si="16"/>
        <v>287.97674414894311</v>
      </c>
      <c r="L50" s="40">
        <f t="shared" si="16"/>
        <v>334.58780271046294</v>
      </c>
      <c r="M50" s="40">
        <f t="shared" si="16"/>
        <v>435.00384305856733</v>
      </c>
      <c r="N50" s="40">
        <f t="shared" si="16"/>
        <v>565.55661008202674</v>
      </c>
      <c r="O50" s="40">
        <f t="shared" si="16"/>
        <v>1510.9153035012469</v>
      </c>
      <c r="P50" s="40">
        <f t="shared" si="16"/>
        <v>1019.6720112639514</v>
      </c>
      <c r="Q50" s="40">
        <f t="shared" si="16"/>
        <v>1282.1696742753265</v>
      </c>
      <c r="R50" s="40">
        <f t="shared" si="16"/>
        <v>1612.2430109594752</v>
      </c>
      <c r="S50" s="40">
        <f t="shared" si="16"/>
        <v>2530.5622562738099</v>
      </c>
      <c r="T50" s="40">
        <f t="shared" si="16"/>
        <v>1968.806414490773</v>
      </c>
      <c r="U50" s="40">
        <f t="shared" si="16"/>
        <v>2341.3185961754225</v>
      </c>
      <c r="V50" s="40">
        <f t="shared" si="16"/>
        <v>2784.3127330599946</v>
      </c>
    </row>
    <row r="51" spans="1:22" x14ac:dyDescent="0.35">
      <c r="B51" s="9" t="s">
        <v>188</v>
      </c>
      <c r="C51" s="16">
        <f>0</f>
        <v>0</v>
      </c>
      <c r="D51" s="16">
        <f t="shared" ref="D51:V51" si="17">C57</f>
        <v>0</v>
      </c>
      <c r="E51" s="16">
        <f t="shared" si="17"/>
        <v>0</v>
      </c>
      <c r="F51" s="16">
        <f t="shared" si="17"/>
        <v>0</v>
      </c>
      <c r="G51" s="16">
        <f t="shared" si="17"/>
        <v>0</v>
      </c>
      <c r="H51" s="16">
        <f t="shared" si="17"/>
        <v>4108738.1298392112</v>
      </c>
      <c r="I51" s="16">
        <f t="shared" si="17"/>
        <v>5615866.1483402969</v>
      </c>
      <c r="J51" s="16">
        <f t="shared" si="17"/>
        <v>7677492.4112591892</v>
      </c>
      <c r="K51" s="16">
        <f t="shared" si="17"/>
        <v>10497541.286134686</v>
      </c>
      <c r="L51" s="16">
        <f t="shared" si="17"/>
        <v>14149800.652357249</v>
      </c>
      <c r="M51" s="16">
        <f t="shared" si="17"/>
        <v>18391642.729989909</v>
      </c>
      <c r="N51" s="16">
        <f t="shared" si="17"/>
        <v>23906783.661066994</v>
      </c>
      <c r="O51" s="16">
        <f t="shared" si="17"/>
        <v>31077351.827558793</v>
      </c>
      <c r="P51" s="16">
        <f t="shared" si="17"/>
        <v>50262301.206909776</v>
      </c>
      <c r="Q51" s="16">
        <f t="shared" si="17"/>
        <v>63183719.0150166</v>
      </c>
      <c r="R51" s="16">
        <f t="shared" si="17"/>
        <v>79432445.833458796</v>
      </c>
      <c r="S51" s="16">
        <f t="shared" si="17"/>
        <v>99864996.255615398</v>
      </c>
      <c r="T51" s="16">
        <f t="shared" si="17"/>
        <v>131957559.75746071</v>
      </c>
      <c r="U51" s="16">
        <f t="shared" si="17"/>
        <v>156880330.03617731</v>
      </c>
      <c r="V51" s="16">
        <f t="shared" si="17"/>
        <v>186520930.72311434</v>
      </c>
    </row>
    <row r="52" spans="1:22" x14ac:dyDescent="0.35">
      <c r="B52" s="9" t="s">
        <v>189</v>
      </c>
      <c r="C52" s="16">
        <f>C50*Assumptions!$D$24*Assumptions!$H$24</f>
        <v>0</v>
      </c>
      <c r="D52" s="16">
        <f>D50*Assumptions!$D$24*Assumptions!$H$24</f>
        <v>0</v>
      </c>
      <c r="E52" s="16">
        <f>E50*Assumptions!$D$24*Assumptions!$H$24</f>
        <v>0</v>
      </c>
      <c r="F52" s="16">
        <f>F50*Assumptions!$D$24*Assumptions!$H$24</f>
        <v>0</v>
      </c>
      <c r="G52" s="16">
        <f>G50*Assumptions!$D$24*Assumptions!$H$24</f>
        <v>3877663.1036240235</v>
      </c>
      <c r="H52" s="16">
        <f>H50*Assumptions!$D$24*Assumptions!$H$24</f>
        <v>1426136.2421280371</v>
      </c>
      <c r="I52" s="16">
        <f>I50*Assumptions!$D$24*Assumptions!$H$24</f>
        <v>1950644.0517957369</v>
      </c>
      <c r="J52" s="16">
        <f>J50*Assumptions!$D$24*Assumptions!$H$24</f>
        <v>2668056.6024522013</v>
      </c>
      <c r="K52" s="16">
        <f>K50*Assumptions!$D$24*Assumptions!$H$24</f>
        <v>3455720.9297873173</v>
      </c>
      <c r="L52" s="16">
        <f>L50*Assumptions!$D$24*Assumptions!$H$24</f>
        <v>4015053.6325255553</v>
      </c>
      <c r="M52" s="16">
        <f>M50*Assumptions!$D$24*Assumptions!$H$24</f>
        <v>5220046.1167028081</v>
      </c>
      <c r="N52" s="16">
        <f>N50*Assumptions!$D$24*Assumptions!$H$24</f>
        <v>6786679.3209843207</v>
      </c>
      <c r="O52" s="16">
        <f>O50*Assumptions!$D$24*Assumptions!$H$24</f>
        <v>18130983.642014962</v>
      </c>
      <c r="P52" s="16">
        <f>P50*Assumptions!$D$24*Assumptions!$H$24</f>
        <v>12236064.135167416</v>
      </c>
      <c r="Q52" s="16">
        <f>Q50*Assumptions!$D$24*Assumptions!$H$24</f>
        <v>15386036.091303919</v>
      </c>
      <c r="R52" s="16">
        <f>R50*Assumptions!$D$24*Assumptions!$H$24</f>
        <v>19346916.131513704</v>
      </c>
      <c r="S52" s="16">
        <f>S50*Assumptions!$D$24*Assumptions!$H$24</f>
        <v>30366747.075285718</v>
      </c>
      <c r="T52" s="16">
        <f>T50*Assumptions!$D$24*Assumptions!$H$24</f>
        <v>23625676.973889276</v>
      </c>
      <c r="U52" s="16">
        <f>U50*Assumptions!$D$24*Assumptions!$H$24</f>
        <v>28095823.154105071</v>
      </c>
      <c r="V52" s="16">
        <f>V50*Assumptions!$D$24*Assumptions!$H$24</f>
        <v>33411752.796719935</v>
      </c>
    </row>
    <row r="53" spans="1:22" x14ac:dyDescent="0.35">
      <c r="B53" s="9" t="s">
        <v>190</v>
      </c>
      <c r="C53" s="16">
        <f>C49*Assumptions!$D$24*Assumptions!$G$24*3</f>
        <v>0</v>
      </c>
      <c r="D53" s="16">
        <f>D49*Assumptions!$D$24*Assumptions!$G$24*3</f>
        <v>0</v>
      </c>
      <c r="E53" s="16">
        <f>E49*Assumptions!$D$24*Assumptions!$G$24*3</f>
        <v>0</v>
      </c>
      <c r="F53" s="16">
        <f>F49*Assumptions!$D$24*Assumptions!$G$24*3</f>
        <v>0</v>
      </c>
      <c r="G53" s="16">
        <f>G49*Assumptions!$D$24*Assumptions!$G$24*3</f>
        <v>203577.31294026127</v>
      </c>
      <c r="H53" s="16">
        <f>H49*Assumptions!$D$24*Assumptions!$G$24*3</f>
        <v>278449.46565198316</v>
      </c>
      <c r="I53" s="16">
        <f>I49*Assumptions!$D$24*Assumptions!$G$24*3</f>
        <v>380858.2783712594</v>
      </c>
      <c r="J53" s="16">
        <f>J49*Assumptions!$D$24*Assumptions!$G$24*3</f>
        <v>520931.24999999988</v>
      </c>
      <c r="K53" s="16">
        <f>K49*Assumptions!$D$24*Assumptions!$G$24*3</f>
        <v>702356.59881383413</v>
      </c>
      <c r="L53" s="16">
        <f>L49*Assumptions!$D$24*Assumptions!$G$24*3</f>
        <v>913146.91452142573</v>
      </c>
      <c r="M53" s="16">
        <f>M49*Assumptions!$D$24*Assumptions!$G$24*3</f>
        <v>1187199.3356483232</v>
      </c>
      <c r="N53" s="16">
        <f>N49*Assumptions!$D$24*Assumptions!$G$24*3</f>
        <v>1543500.0000000002</v>
      </c>
      <c r="O53" s="16">
        <f>O49*Assumptions!$D$24*Assumptions!$G$24*3</f>
        <v>2495376.6412057858</v>
      </c>
      <c r="P53" s="16">
        <f>P49*Assumptions!$D$24*Assumptions!$G$24*3</f>
        <v>3137770.0083020749</v>
      </c>
      <c r="Q53" s="16">
        <f>Q49*Assumptions!$D$24*Assumptions!$G$24*3</f>
        <v>3945536.9030955308</v>
      </c>
      <c r="R53" s="16">
        <f>R49*Assumptions!$D$24*Assumptions!$G$24*3</f>
        <v>4961250.0000000009</v>
      </c>
      <c r="S53" s="16">
        <f>S49*Assumptions!$D$24*Assumptions!$G$24*3</f>
        <v>6555504.2214525007</v>
      </c>
      <c r="T53" s="16">
        <f>T49*Assumptions!$D$24*Assumptions!$G$24*3</f>
        <v>7795852.2625816874</v>
      </c>
      <c r="U53" s="16">
        <f>U49*Assumptions!$D$24*Assumptions!$G$24*3</f>
        <v>9270882.9781722054</v>
      </c>
      <c r="V53" s="16">
        <f>V49*Assumptions!$D$24*Assumptions!$G$24*3</f>
        <v>11025000.000000002</v>
      </c>
    </row>
    <row r="54" spans="1:22" x14ac:dyDescent="0.35">
      <c r="B54" s="9" t="s">
        <v>191</v>
      </c>
      <c r="C54" s="16">
        <f>-C51*Assumptions!$C$14/4</f>
        <v>0</v>
      </c>
      <c r="D54" s="16">
        <f>-D51*Assumptions!$C$14/4</f>
        <v>0</v>
      </c>
      <c r="E54" s="16">
        <f>-E51*Assumptions!$C$14/4</f>
        <v>0</v>
      </c>
      <c r="F54" s="16">
        <f>-F51*Assumptions!$C$14/4</f>
        <v>0</v>
      </c>
      <c r="G54" s="16">
        <f>-G51*Assumptions!$C$14/4</f>
        <v>0</v>
      </c>
      <c r="H54" s="16">
        <f>-H51*Assumptions!$C$14/4</f>
        <v>-82174.762596784232</v>
      </c>
      <c r="I54" s="16">
        <f>-I51*Assumptions!$C$14/4</f>
        <v>-112317.32296680594</v>
      </c>
      <c r="J54" s="16">
        <f>-J51*Assumptions!$C$14/4</f>
        <v>-153549.84822518378</v>
      </c>
      <c r="K54" s="16">
        <f>-K51*Assumptions!$C$14/4</f>
        <v>-209950.82572269373</v>
      </c>
      <c r="L54" s="16">
        <f>-L51*Assumptions!$C$14/4</f>
        <v>-282996.01304714498</v>
      </c>
      <c r="M54" s="16">
        <f>-M51*Assumptions!$C$14/4</f>
        <v>-367832.85459979816</v>
      </c>
      <c r="N54" s="16">
        <f>-N51*Assumptions!$C$14/4</f>
        <v>-478135.67322133988</v>
      </c>
      <c r="O54" s="16">
        <f>-O51*Assumptions!$C$14/4</f>
        <v>-621547.03655117587</v>
      </c>
      <c r="P54" s="16">
        <f>-P51*Assumptions!$C$14/4</f>
        <v>-1005246.0241381956</v>
      </c>
      <c r="Q54" s="16">
        <f>-Q51*Assumptions!$C$14/4</f>
        <v>-1263674.3803003321</v>
      </c>
      <c r="R54" s="16">
        <f>-R51*Assumptions!$C$14/4</f>
        <v>-1588648.916669176</v>
      </c>
      <c r="S54" s="16">
        <f>-S51*Assumptions!$C$14/4</f>
        <v>-1997299.925112308</v>
      </c>
      <c r="T54" s="16">
        <f>-T51*Assumptions!$C$14/4</f>
        <v>-2639151.1951492145</v>
      </c>
      <c r="U54" s="16">
        <f>-U51*Assumptions!$C$14/4</f>
        <v>-3137606.600723546</v>
      </c>
      <c r="V54" s="16">
        <f>-V51*Assumptions!$C$14/4</f>
        <v>-3730418.6144622867</v>
      </c>
    </row>
    <row r="55" spans="1:22" x14ac:dyDescent="0.35">
      <c r="B55" s="9" t="s">
        <v>192</v>
      </c>
      <c r="C55" s="16">
        <f>-C51*(1-(1-Assumptions!$E$24)^3)</f>
        <v>0</v>
      </c>
      <c r="D55" s="16">
        <f>-D51*(1-(1-Assumptions!$E$24)^3)</f>
        <v>0</v>
      </c>
      <c r="E55" s="16">
        <f>-E51*(1-(1-Assumptions!$E$24)^3)</f>
        <v>0</v>
      </c>
      <c r="F55" s="16">
        <f>-F51*(1-(1-Assumptions!$E$24)^3)</f>
        <v>0</v>
      </c>
      <c r="G55" s="16">
        <f>-G51*(1-(1-Assumptions!$E$24)^3)</f>
        <v>0</v>
      </c>
      <c r="H55" s="16">
        <f>-H51*(1-(1-Assumptions!$E$24)^3)</f>
        <v>-182133.68459631116</v>
      </c>
      <c r="I55" s="16">
        <f>-I51*(1-(1-Assumptions!$E$24)^3)</f>
        <v>-248942.22057343417</v>
      </c>
      <c r="J55" s="16">
        <f>-J51*(1-(1-Assumptions!$E$24)^3)</f>
        <v>-340330.76266595139</v>
      </c>
      <c r="K55" s="16">
        <f>-K51*(1-(1-Assumptions!$E$24)^3)</f>
        <v>-465338.94670976041</v>
      </c>
      <c r="L55" s="16">
        <f>-L51*(1-(1-Assumptions!$E$24)^3)</f>
        <v>-627237.66949293634</v>
      </c>
      <c r="M55" s="16">
        <f>-M51*(1-(1-Assumptions!$E$24)^3)</f>
        <v>-815271.635801016</v>
      </c>
      <c r="N55" s="16">
        <f>-N51*(1-(1-Assumptions!$E$24)^3)</f>
        <v>-1059748.87117165</v>
      </c>
      <c r="O55" s="16">
        <f>-O51*(1-(1-Assumptions!$E$24)^3)</f>
        <v>-1377608.5058189607</v>
      </c>
      <c r="P55" s="16">
        <f>-P51*(1-(1-Assumptions!$E$24)^3)</f>
        <v>-2228046.136262848</v>
      </c>
      <c r="Q55" s="16">
        <f>-Q51*(1-(1-Assumptions!$E$24)^3)</f>
        <v>-2800831.590392285</v>
      </c>
      <c r="R55" s="16">
        <f>-R51*(1-(1-Assumptions!$E$24)^3)</f>
        <v>-3521111.2460727473</v>
      </c>
      <c r="S55" s="16">
        <f>-S51*(1-(1-Assumptions!$E$24)^3)</f>
        <v>-4426853.0033925129</v>
      </c>
      <c r="T55" s="16">
        <f>-T51*(1-(1-Assumptions!$E$24)^3)</f>
        <v>-5849464.1930136243</v>
      </c>
      <c r="U55" s="16">
        <f>-U51*(1-(1-Assumptions!$E$24)^3)</f>
        <v>-6954250.0999674276</v>
      </c>
      <c r="V55" s="16">
        <f>-V51*(1-(1-Assumptions!$E$24)^3)</f>
        <v>-8268169.7624432296</v>
      </c>
    </row>
    <row r="56" spans="1:22" x14ac:dyDescent="0.35">
      <c r="B56" s="9" t="s">
        <v>193</v>
      </c>
      <c r="C56" s="16">
        <f>(C51+(C52+C53)/2)*((1+Assumptions!$C$13)^(1/4)-1)</f>
        <v>0</v>
      </c>
      <c r="D56" s="16">
        <f>(D51+(D52+D53)/2)*((1+Assumptions!$C$13)^(1/4)-1)</f>
        <v>0</v>
      </c>
      <c r="E56" s="16">
        <f>(E51+(E52+E53)/2)*((1+Assumptions!$C$13)^(1/4)-1)</f>
        <v>0</v>
      </c>
      <c r="F56" s="16">
        <f>(F51+(F52+F53)/2)*((1+Assumptions!$C$13)^(1/4)-1)</f>
        <v>0</v>
      </c>
      <c r="G56" s="16">
        <f>(G51+(G52+G53)/2)*((1+Assumptions!$C$13)^(1/4)-1)</f>
        <v>27497.713274926402</v>
      </c>
      <c r="H56" s="16">
        <f>(H51+(H52+H53)/2)*((1+Assumptions!$C$13)^(1/4)-1)</f>
        <v>66850.757914159971</v>
      </c>
      <c r="I56" s="16">
        <f>(I51+(I52+I53)/2)*((1+Assumptions!$C$13)^(1/4)-1)</f>
        <v>91383.476292135732</v>
      </c>
      <c r="J56" s="16">
        <f>(J51+(J52+J53)/2)*((1+Assumptions!$C$13)^(1/4)-1)</f>
        <v>124941.63331443111</v>
      </c>
      <c r="K56" s="16">
        <f>(K51+(K52+K53)/2)*((1+Assumptions!$C$13)^(1/4)-1)</f>
        <v>169471.61005386512</v>
      </c>
      <c r="L56" s="16">
        <f>(L51+(L52+L53)/2)*((1+Assumptions!$C$13)^(1/4)-1)</f>
        <v>223875.21312576268</v>
      </c>
      <c r="M56" s="16">
        <f>(M51+(M52+M53)/2)*((1+Assumptions!$C$13)^(1/4)-1)</f>
        <v>290999.9691267673</v>
      </c>
      <c r="N56" s="16">
        <f>(N51+(N52+N53)/2)*((1+Assumptions!$C$13)^(1/4)-1)</f>
        <v>378273.38990047015</v>
      </c>
      <c r="O56" s="16">
        <f>(O51+(O52+O53)/2)*((1+Assumptions!$C$13)^(1/4)-1)</f>
        <v>557744.63850037754</v>
      </c>
      <c r="P56" s="16">
        <f>(P51+(P52+P53)/2)*((1+Assumptions!$C$13)^(1/4)-1)</f>
        <v>780875.82503837126</v>
      </c>
      <c r="Q56" s="16">
        <f>(Q51+(Q52+Q53)/2)*((1+Assumptions!$C$13)^(1/4)-1)</f>
        <v>981659.79473536962</v>
      </c>
      <c r="R56" s="16">
        <f>(R51+(R52+R53)/2)*((1+Assumptions!$C$13)^(1/4)-1)</f>
        <v>1234144.4533848253</v>
      </c>
      <c r="S56" s="16">
        <f>(S51+(S52+S53)/2)*((1+Assumptions!$C$13)^(1/4)-1)</f>
        <v>1594465.1336119124</v>
      </c>
      <c r="T56" s="16">
        <f>(T51+(T52+T53)/2)*((1+Assumptions!$C$13)^(1/4)-1)</f>
        <v>1989856.4304084829</v>
      </c>
      <c r="U56" s="16">
        <f>(U51+(U52+U53)/2)*((1+Assumptions!$C$13)^(1/4)-1)</f>
        <v>2365751.2553507197</v>
      </c>
      <c r="V56" s="16">
        <f>(V51+(V52+V53)/2)*((1+Assumptions!$C$13)^(1/4)-1)</f>
        <v>2812798.5762059521</v>
      </c>
    </row>
    <row r="57" spans="1:22" x14ac:dyDescent="0.35">
      <c r="B57" s="7" t="s">
        <v>194</v>
      </c>
      <c r="C57" s="43">
        <f t="shared" ref="C57:V57" si="18">C51+C52+C53+C54+C55+C56</f>
        <v>0</v>
      </c>
      <c r="D57" s="43">
        <f t="shared" si="18"/>
        <v>0</v>
      </c>
      <c r="E57" s="43">
        <f t="shared" si="18"/>
        <v>0</v>
      </c>
      <c r="F57" s="43">
        <f t="shared" si="18"/>
        <v>0</v>
      </c>
      <c r="G57" s="43">
        <f t="shared" si="18"/>
        <v>4108738.1298392112</v>
      </c>
      <c r="H57" s="43">
        <f t="shared" si="18"/>
        <v>5615866.1483402969</v>
      </c>
      <c r="I57" s="43">
        <f t="shared" si="18"/>
        <v>7677492.4112591892</v>
      </c>
      <c r="J57" s="43">
        <f t="shared" si="18"/>
        <v>10497541.286134686</v>
      </c>
      <c r="K57" s="43">
        <f t="shared" si="18"/>
        <v>14149800.652357249</v>
      </c>
      <c r="L57" s="43">
        <f t="shared" si="18"/>
        <v>18391642.729989909</v>
      </c>
      <c r="M57" s="43">
        <f t="shared" si="18"/>
        <v>23906783.661066994</v>
      </c>
      <c r="N57" s="43">
        <f t="shared" si="18"/>
        <v>31077351.827558793</v>
      </c>
      <c r="O57" s="43">
        <f t="shared" si="18"/>
        <v>50262301.206909776</v>
      </c>
      <c r="P57" s="43">
        <f t="shared" si="18"/>
        <v>63183719.0150166</v>
      </c>
      <c r="Q57" s="43">
        <f t="shared" si="18"/>
        <v>79432445.833458796</v>
      </c>
      <c r="R57" s="43">
        <f t="shared" si="18"/>
        <v>99864996.255615398</v>
      </c>
      <c r="S57" s="43">
        <f t="shared" si="18"/>
        <v>131957559.75746071</v>
      </c>
      <c r="T57" s="43">
        <f t="shared" si="18"/>
        <v>156880330.03617731</v>
      </c>
      <c r="U57" s="43">
        <f t="shared" si="18"/>
        <v>186520930.72311434</v>
      </c>
      <c r="V57" s="43">
        <f t="shared" si="18"/>
        <v>221771893.71913472</v>
      </c>
    </row>
    <row r="58" spans="1:22" x14ac:dyDescent="0.35">
      <c r="B58" s="9" t="s">
        <v>195</v>
      </c>
      <c r="C58" s="16">
        <f t="shared" ref="C58:V58" si="19">(C51+C57)/2</f>
        <v>0</v>
      </c>
      <c r="D58" s="16">
        <f t="shared" si="19"/>
        <v>0</v>
      </c>
      <c r="E58" s="16">
        <f t="shared" si="19"/>
        <v>0</v>
      </c>
      <c r="F58" s="16">
        <f t="shared" si="19"/>
        <v>0</v>
      </c>
      <c r="G58" s="16">
        <f t="shared" si="19"/>
        <v>2054369.0649196056</v>
      </c>
      <c r="H58" s="16">
        <f t="shared" si="19"/>
        <v>4862302.1390897539</v>
      </c>
      <c r="I58" s="16">
        <f t="shared" si="19"/>
        <v>6646679.2797997426</v>
      </c>
      <c r="J58" s="16">
        <f t="shared" si="19"/>
        <v>9087516.8486969378</v>
      </c>
      <c r="K58" s="16">
        <f t="shared" si="19"/>
        <v>12323670.969245967</v>
      </c>
      <c r="L58" s="16">
        <f t="shared" si="19"/>
        <v>16270721.69117358</v>
      </c>
      <c r="M58" s="16">
        <f t="shared" si="19"/>
        <v>21149213.195528451</v>
      </c>
      <c r="N58" s="16">
        <f t="shared" si="19"/>
        <v>27492067.744312894</v>
      </c>
      <c r="O58" s="16">
        <f t="shared" si="19"/>
        <v>40669826.517234281</v>
      </c>
      <c r="P58" s="16">
        <f t="shared" si="19"/>
        <v>56723010.110963188</v>
      </c>
      <c r="Q58" s="16">
        <f t="shared" si="19"/>
        <v>71308082.424237698</v>
      </c>
      <c r="R58" s="16">
        <f t="shared" si="19"/>
        <v>89648721.044537097</v>
      </c>
      <c r="S58" s="16">
        <f t="shared" si="19"/>
        <v>115911278.00653806</v>
      </c>
      <c r="T58" s="16">
        <f t="shared" si="19"/>
        <v>144418944.896819</v>
      </c>
      <c r="U58" s="16">
        <f t="shared" si="19"/>
        <v>171700630.37964582</v>
      </c>
      <c r="V58" s="16">
        <f t="shared" si="19"/>
        <v>204146412.22112453</v>
      </c>
    </row>
    <row r="59" spans="1:22" x14ac:dyDescent="0.35">
      <c r="B59" s="9" t="s">
        <v>196</v>
      </c>
      <c r="C59" s="16">
        <f t="shared" ref="C59:V59" si="20">IF(C49=0,0,C57/C49)</f>
        <v>0</v>
      </c>
      <c r="D59" s="16">
        <f t="shared" si="20"/>
        <v>0</v>
      </c>
      <c r="E59" s="16">
        <f t="shared" si="20"/>
        <v>0</v>
      </c>
      <c r="F59" s="16">
        <f t="shared" si="20"/>
        <v>0</v>
      </c>
      <c r="G59" s="16">
        <f t="shared" si="20"/>
        <v>12715.095726596448</v>
      </c>
      <c r="H59" s="16">
        <f t="shared" si="20"/>
        <v>12706.060200798913</v>
      </c>
      <c r="I59" s="16">
        <f t="shared" si="20"/>
        <v>12699.790168085497</v>
      </c>
      <c r="J59" s="16">
        <f t="shared" si="20"/>
        <v>12695.439197139456</v>
      </c>
      <c r="K59" s="16">
        <f t="shared" si="20"/>
        <v>12692.091775089739</v>
      </c>
      <c r="L59" s="16">
        <f t="shared" si="20"/>
        <v>12688.796003834907</v>
      </c>
      <c r="M59" s="16">
        <f t="shared" si="20"/>
        <v>12686.389938255252</v>
      </c>
      <c r="N59" s="16">
        <f t="shared" si="20"/>
        <v>12684.633399003589</v>
      </c>
      <c r="O59" s="16">
        <f t="shared" si="20"/>
        <v>12689.567273120047</v>
      </c>
      <c r="P59" s="16">
        <f t="shared" si="20"/>
        <v>12685.99765889162</v>
      </c>
      <c r="Q59" s="16">
        <f t="shared" si="20"/>
        <v>12683.303211742232</v>
      </c>
      <c r="R59" s="16">
        <f t="shared" si="20"/>
        <v>12681.269365792432</v>
      </c>
      <c r="S59" s="16">
        <f t="shared" si="20"/>
        <v>12681.444453220174</v>
      </c>
      <c r="T59" s="16">
        <f t="shared" si="20"/>
        <v>12677.845166098808</v>
      </c>
      <c r="U59" s="16">
        <f t="shared" si="20"/>
        <v>12674.972452163269</v>
      </c>
      <c r="V59" s="16">
        <f t="shared" si="20"/>
        <v>12672.679641093413</v>
      </c>
    </row>
    <row r="61" spans="1:22" ht="16" customHeight="1" x14ac:dyDescent="0.35">
      <c r="A61" s="4" t="s">
        <v>200</v>
      </c>
      <c r="B61" s="5"/>
      <c r="C61" s="5"/>
      <c r="D61" s="5"/>
      <c r="E61" s="5"/>
      <c r="F61" s="5"/>
      <c r="G61" s="5"/>
      <c r="H61" s="5"/>
    </row>
    <row r="62" spans="1:22" x14ac:dyDescent="0.35">
      <c r="B62" s="7" t="s">
        <v>201</v>
      </c>
      <c r="C62" s="44">
        <f t="shared" ref="C62:V62" si="21">C10+C23+C36+C49</f>
        <v>0</v>
      </c>
      <c r="D62" s="44">
        <f t="shared" si="21"/>
        <v>0</v>
      </c>
      <c r="E62" s="44">
        <f t="shared" si="21"/>
        <v>0</v>
      </c>
      <c r="F62" s="44">
        <f t="shared" si="21"/>
        <v>0</v>
      </c>
      <c r="G62" s="44">
        <f t="shared" si="21"/>
        <v>1318.7132062721385</v>
      </c>
      <c r="H62" s="44">
        <f t="shared" si="21"/>
        <v>1803.7127140117129</v>
      </c>
      <c r="I62" s="44">
        <f t="shared" si="21"/>
        <v>2467.0865046422468</v>
      </c>
      <c r="J62" s="44">
        <f t="shared" si="21"/>
        <v>3374.4375</v>
      </c>
      <c r="K62" s="44">
        <f t="shared" si="21"/>
        <v>7501.3595927736033</v>
      </c>
      <c r="L62" s="44">
        <f t="shared" si="21"/>
        <v>9752.6575224397166</v>
      </c>
      <c r="M62" s="44">
        <f t="shared" si="21"/>
        <v>12679.611952162364</v>
      </c>
      <c r="N62" s="44">
        <f t="shared" si="21"/>
        <v>16485</v>
      </c>
      <c r="O62" s="44">
        <f t="shared" si="21"/>
        <v>26651.301542129819</v>
      </c>
      <c r="P62" s="44">
        <f t="shared" si="21"/>
        <v>33512.237503634402</v>
      </c>
      <c r="Q62" s="44">
        <f t="shared" si="21"/>
        <v>42139.407740544091</v>
      </c>
      <c r="R62" s="44">
        <f t="shared" si="21"/>
        <v>52987.5</v>
      </c>
      <c r="S62" s="44">
        <f t="shared" si="21"/>
        <v>70014.568895785196</v>
      </c>
      <c r="T62" s="44">
        <f t="shared" si="21"/>
        <v>83261.823484715977</v>
      </c>
      <c r="U62" s="44">
        <f t="shared" si="21"/>
        <v>99015.552896124878</v>
      </c>
      <c r="V62" s="44">
        <f t="shared" si="21"/>
        <v>117750</v>
      </c>
    </row>
    <row r="63" spans="1:22" x14ac:dyDescent="0.35">
      <c r="B63" s="9" t="s">
        <v>202</v>
      </c>
      <c r="C63" s="16">
        <f t="shared" ref="C63:V63" si="22">C13+C26+C39+C52</f>
        <v>0</v>
      </c>
      <c r="D63" s="16">
        <f t="shared" si="22"/>
        <v>0</v>
      </c>
      <c r="E63" s="16">
        <f t="shared" si="22"/>
        <v>0</v>
      </c>
      <c r="F63" s="16">
        <f t="shared" si="22"/>
        <v>0</v>
      </c>
      <c r="G63" s="16">
        <f t="shared" si="22"/>
        <v>5580603.4832989071</v>
      </c>
      <c r="H63" s="16">
        <f t="shared" si="22"/>
        <v>2052447.7417959333</v>
      </c>
      <c r="I63" s="16">
        <f t="shared" si="22"/>
        <v>2807301.8978760312</v>
      </c>
      <c r="J63" s="16">
        <f t="shared" si="22"/>
        <v>3839778.1270291265</v>
      </c>
      <c r="K63" s="16">
        <f t="shared" si="22"/>
        <v>12796432.324680259</v>
      </c>
      <c r="L63" s="16">
        <f t="shared" si="22"/>
        <v>8126181.7626865413</v>
      </c>
      <c r="M63" s="16">
        <f t="shared" si="22"/>
        <v>10565000.47976958</v>
      </c>
      <c r="N63" s="16">
        <f t="shared" si="22"/>
        <v>13735754.182863619</v>
      </c>
      <c r="O63" s="16">
        <f t="shared" si="22"/>
        <v>36695815.821178138</v>
      </c>
      <c r="P63" s="16">
        <f t="shared" si="22"/>
        <v>24764919.804997761</v>
      </c>
      <c r="Q63" s="16">
        <f t="shared" si="22"/>
        <v>31140238.046221174</v>
      </c>
      <c r="R63" s="16">
        <f t="shared" si="22"/>
        <v>39156776.327602923</v>
      </c>
      <c r="S63" s="16">
        <f t="shared" si="22"/>
        <v>61460127.027015768</v>
      </c>
      <c r="T63" s="16">
        <f t="shared" si="22"/>
        <v>47816682.646796629</v>
      </c>
      <c r="U63" s="16">
        <f t="shared" si="22"/>
        <v>56863939.219397649</v>
      </c>
      <c r="V63" s="16">
        <f t="shared" si="22"/>
        <v>67623001.106789961</v>
      </c>
    </row>
    <row r="64" spans="1:22" x14ac:dyDescent="0.35">
      <c r="B64" s="9" t="s">
        <v>203</v>
      </c>
      <c r="C64" s="16">
        <f t="shared" ref="C64:V64" si="23">C14+C27+C40+C53</f>
        <v>0</v>
      </c>
      <c r="D64" s="16">
        <f t="shared" si="23"/>
        <v>0</v>
      </c>
      <c r="E64" s="16">
        <f t="shared" si="23"/>
        <v>0</v>
      </c>
      <c r="F64" s="16">
        <f t="shared" si="23"/>
        <v>0</v>
      </c>
      <c r="G64" s="16">
        <f t="shared" si="23"/>
        <v>355304.73066634987</v>
      </c>
      <c r="H64" s="16">
        <f t="shared" si="23"/>
        <v>485979.55719505309</v>
      </c>
      <c r="I64" s="16">
        <f t="shared" si="23"/>
        <v>664714.28502673679</v>
      </c>
      <c r="J64" s="16">
        <f t="shared" si="23"/>
        <v>909184.49999999988</v>
      </c>
      <c r="K64" s="16">
        <f t="shared" si="23"/>
        <v>1873142.0476120785</v>
      </c>
      <c r="L64" s="16">
        <f t="shared" si="23"/>
        <v>2435306.9140746919</v>
      </c>
      <c r="M64" s="16">
        <f t="shared" si="23"/>
        <v>3166187.9425004669</v>
      </c>
      <c r="N64" s="16">
        <f t="shared" si="23"/>
        <v>4116420</v>
      </c>
      <c r="O64" s="16">
        <f t="shared" si="23"/>
        <v>6655016.7239341242</v>
      </c>
      <c r="P64" s="16">
        <f t="shared" si="23"/>
        <v>8368240.5037737777</v>
      </c>
      <c r="Q64" s="16">
        <f t="shared" si="23"/>
        <v>10522505.357071916</v>
      </c>
      <c r="R64" s="16">
        <f t="shared" si="23"/>
        <v>13231350</v>
      </c>
      <c r="S64" s="16">
        <f t="shared" si="23"/>
        <v>17483128.401212502</v>
      </c>
      <c r="T64" s="16">
        <f t="shared" si="23"/>
        <v>20791060.687228061</v>
      </c>
      <c r="U64" s="16">
        <f t="shared" si="23"/>
        <v>24724877.297704972</v>
      </c>
      <c r="V64" s="16">
        <f t="shared" si="23"/>
        <v>29403000</v>
      </c>
    </row>
    <row r="65" spans="1:22" x14ac:dyDescent="0.35">
      <c r="B65" s="9" t="s">
        <v>204</v>
      </c>
      <c r="C65" s="16">
        <f t="shared" ref="C65:V65" si="24">C15+C28+C41+C54</f>
        <v>0</v>
      </c>
      <c r="D65" s="16">
        <f t="shared" si="24"/>
        <v>0</v>
      </c>
      <c r="E65" s="16">
        <f t="shared" si="24"/>
        <v>0</v>
      </c>
      <c r="F65" s="16">
        <f t="shared" si="24"/>
        <v>0</v>
      </c>
      <c r="G65" s="16">
        <f t="shared" si="24"/>
        <v>0</v>
      </c>
      <c r="H65" s="16">
        <f t="shared" si="24"/>
        <v>-119518.03826580901</v>
      </c>
      <c r="I65" s="16">
        <f t="shared" si="24"/>
        <v>-164199.98948153513</v>
      </c>
      <c r="J65" s="16">
        <f t="shared" si="24"/>
        <v>-225273.52932063758</v>
      </c>
      <c r="K65" s="16">
        <f t="shared" si="24"/>
        <v>-308769.76334859431</v>
      </c>
      <c r="L65" s="16">
        <f t="shared" si="24"/>
        <v>-587519.76509372785</v>
      </c>
      <c r="M65" s="16">
        <f t="shared" si="24"/>
        <v>-768743.33265685011</v>
      </c>
      <c r="N65" s="16">
        <f t="shared" si="24"/>
        <v>-1004102.6821929361</v>
      </c>
      <c r="O65" s="16">
        <f t="shared" si="24"/>
        <v>-1309858.8749964377</v>
      </c>
      <c r="P65" s="16">
        <f t="shared" si="24"/>
        <v>-2112684.1803460773</v>
      </c>
      <c r="Q65" s="16">
        <f t="shared" si="24"/>
        <v>-2666865.3337918515</v>
      </c>
      <c r="R65" s="16">
        <f t="shared" si="24"/>
        <v>-3363172.1942620077</v>
      </c>
      <c r="S65" s="16">
        <f t="shared" si="24"/>
        <v>-4238222.799605852</v>
      </c>
      <c r="T65" s="16">
        <f t="shared" si="24"/>
        <v>-5601194.5995876547</v>
      </c>
      <c r="U65" s="16">
        <f t="shared" si="24"/>
        <v>-6683224.0483474359</v>
      </c>
      <c r="V65" s="16">
        <f t="shared" si="24"/>
        <v>-7968815.8956514485</v>
      </c>
    </row>
    <row r="66" spans="1:22" x14ac:dyDescent="0.35">
      <c r="B66" s="9" t="s">
        <v>205</v>
      </c>
      <c r="C66" s="16">
        <f t="shared" ref="C66:V66" si="25">C16+C29+C42+C55</f>
        <v>0</v>
      </c>
      <c r="D66" s="16">
        <f t="shared" si="25"/>
        <v>0</v>
      </c>
      <c r="E66" s="16">
        <f t="shared" si="25"/>
        <v>0</v>
      </c>
      <c r="F66" s="16">
        <f t="shared" si="25"/>
        <v>0</v>
      </c>
      <c r="G66" s="16">
        <f t="shared" si="25"/>
        <v>0</v>
      </c>
      <c r="H66" s="16">
        <f t="shared" si="25"/>
        <v>-282440.89599437348</v>
      </c>
      <c r="I66" s="16">
        <f t="shared" si="25"/>
        <v>-388163.38840552024</v>
      </c>
      <c r="J66" s="16">
        <f t="shared" si="25"/>
        <v>-532653.95144722867</v>
      </c>
      <c r="K66" s="16">
        <f t="shared" si="25"/>
        <v>-730178.37967494666</v>
      </c>
      <c r="L66" s="16">
        <f t="shared" si="25"/>
        <v>-1379796.050766459</v>
      </c>
      <c r="M66" s="16">
        <f t="shared" si="25"/>
        <v>-1804940.2178513897</v>
      </c>
      <c r="N66" s="16">
        <f t="shared" si="25"/>
        <v>-2357065.3811038323</v>
      </c>
      <c r="O66" s="16">
        <f t="shared" si="25"/>
        <v>-3074317.2596924077</v>
      </c>
      <c r="P66" s="16">
        <f t="shared" si="25"/>
        <v>-4958095.4070827765</v>
      </c>
      <c r="Q66" s="16">
        <f t="shared" si="25"/>
        <v>-6258065.1927308599</v>
      </c>
      <c r="R66" s="16">
        <f t="shared" si="25"/>
        <v>-7891360.0362866409</v>
      </c>
      <c r="S66" s="16">
        <f t="shared" si="25"/>
        <v>-9943869.2757367454</v>
      </c>
      <c r="T66" s="16">
        <f t="shared" si="25"/>
        <v>-13141180.666610427</v>
      </c>
      <c r="U66" s="16">
        <f t="shared" si="25"/>
        <v>-15678592.365135226</v>
      </c>
      <c r="V66" s="16">
        <f t="shared" si="25"/>
        <v>-18693217.210489467</v>
      </c>
    </row>
    <row r="67" spans="1:22" x14ac:dyDescent="0.35">
      <c r="B67" s="9" t="s">
        <v>206</v>
      </c>
      <c r="C67" s="16">
        <f t="shared" ref="C67:V67" si="26">C17+C30+C43+C56</f>
        <v>0</v>
      </c>
      <c r="D67" s="16">
        <f t="shared" si="26"/>
        <v>0</v>
      </c>
      <c r="E67" s="16">
        <f t="shared" si="26"/>
        <v>0</v>
      </c>
      <c r="F67" s="16">
        <f t="shared" si="26"/>
        <v>0</v>
      </c>
      <c r="G67" s="16">
        <f t="shared" si="26"/>
        <v>39993.699325192923</v>
      </c>
      <c r="H67" s="16">
        <f t="shared" si="26"/>
        <v>97629.196055501176</v>
      </c>
      <c r="I67" s="16">
        <f t="shared" si="26"/>
        <v>134024.186939409</v>
      </c>
      <c r="J67" s="16">
        <f t="shared" si="26"/>
        <v>183776.55513657629</v>
      </c>
      <c r="K67" s="16">
        <f t="shared" si="26"/>
        <v>306873.85798788274</v>
      </c>
      <c r="L67" s="16">
        <f t="shared" si="26"/>
        <v>467005.51725507132</v>
      </c>
      <c r="M67" s="16">
        <f t="shared" si="26"/>
        <v>610462.60504248599</v>
      </c>
      <c r="N67" s="16">
        <f t="shared" si="26"/>
        <v>796803.5206082291</v>
      </c>
      <c r="O67" s="16">
        <f t="shared" si="26"/>
        <v>1174608.8570585698</v>
      </c>
      <c r="P67" s="16">
        <f t="shared" si="26"/>
        <v>1646676.9509460111</v>
      </c>
      <c r="Q67" s="16">
        <f t="shared" si="26"/>
        <v>2077530.1467374251</v>
      </c>
      <c r="R67" s="16">
        <f t="shared" si="26"/>
        <v>2618936.1701379856</v>
      </c>
      <c r="S67" s="16">
        <f t="shared" si="26"/>
        <v>3387426.6462044623</v>
      </c>
      <c r="T67" s="16">
        <f t="shared" si="26"/>
        <v>4236104.3701624312</v>
      </c>
      <c r="U67" s="16">
        <f t="shared" si="26"/>
        <v>5052592.2615806591</v>
      </c>
      <c r="V67" s="16">
        <f t="shared" si="26"/>
        <v>6022780.3593275435</v>
      </c>
    </row>
    <row r="68" spans="1:22" x14ac:dyDescent="0.35">
      <c r="B68" s="7" t="s">
        <v>207</v>
      </c>
      <c r="C68" s="45">
        <f t="shared" ref="C68:V68" si="27">C18+C31+C44+C57</f>
        <v>0</v>
      </c>
      <c r="D68" s="45">
        <f t="shared" si="27"/>
        <v>0</v>
      </c>
      <c r="E68" s="45">
        <f t="shared" si="27"/>
        <v>0</v>
      </c>
      <c r="F68" s="45">
        <f t="shared" si="27"/>
        <v>0</v>
      </c>
      <c r="G68" s="45">
        <f t="shared" si="27"/>
        <v>5975901.9132904503</v>
      </c>
      <c r="H68" s="45">
        <f t="shared" si="27"/>
        <v>8209999.4740767563</v>
      </c>
      <c r="I68" s="45">
        <f t="shared" si="27"/>
        <v>11263676.466031879</v>
      </c>
      <c r="J68" s="45">
        <f t="shared" si="27"/>
        <v>15438488.167429715</v>
      </c>
      <c r="K68" s="45">
        <f t="shared" si="27"/>
        <v>29375988.254686393</v>
      </c>
      <c r="L68" s="45">
        <f t="shared" si="27"/>
        <v>38437166.632842511</v>
      </c>
      <c r="M68" s="45">
        <f t="shared" si="27"/>
        <v>50205134.109646805</v>
      </c>
      <c r="N68" s="45">
        <f t="shared" si="27"/>
        <v>65492943.749821879</v>
      </c>
      <c r="O68" s="45">
        <f t="shared" si="27"/>
        <v>105634209.01730387</v>
      </c>
      <c r="P68" s="45">
        <f t="shared" si="27"/>
        <v>133343266.68959257</v>
      </c>
      <c r="Q68" s="45">
        <f t="shared" si="27"/>
        <v>168158609.71310037</v>
      </c>
      <c r="R68" s="45">
        <f t="shared" si="27"/>
        <v>211911139.98029262</v>
      </c>
      <c r="S68" s="45">
        <f t="shared" si="27"/>
        <v>280059729.97938275</v>
      </c>
      <c r="T68" s="45">
        <f t="shared" si="27"/>
        <v>334161202.41737175</v>
      </c>
      <c r="U68" s="45">
        <f t="shared" si="27"/>
        <v>398440794.78257239</v>
      </c>
      <c r="V68" s="45">
        <f t="shared" si="27"/>
        <v>474827543.14254904</v>
      </c>
    </row>
    <row r="69" spans="1:22" x14ac:dyDescent="0.35">
      <c r="B69" s="9" t="s">
        <v>208</v>
      </c>
      <c r="C69" s="16">
        <f t="shared" ref="C69:V69" si="28">C19+C32+C45+C58</f>
        <v>0</v>
      </c>
      <c r="D69" s="16">
        <f t="shared" si="28"/>
        <v>0</v>
      </c>
      <c r="E69" s="16">
        <f t="shared" si="28"/>
        <v>0</v>
      </c>
      <c r="F69" s="16">
        <f t="shared" si="28"/>
        <v>0</v>
      </c>
      <c r="G69" s="16">
        <f t="shared" si="28"/>
        <v>2987950.9566452252</v>
      </c>
      <c r="H69" s="16">
        <f t="shared" si="28"/>
        <v>7092950.6936836028</v>
      </c>
      <c r="I69" s="16">
        <f t="shared" si="28"/>
        <v>9736837.9700543173</v>
      </c>
      <c r="J69" s="16">
        <f t="shared" si="28"/>
        <v>13351082.316730797</v>
      </c>
      <c r="K69" s="16">
        <f t="shared" si="28"/>
        <v>22407238.211058054</v>
      </c>
      <c r="L69" s="16">
        <f t="shared" si="28"/>
        <v>33906577.443764448</v>
      </c>
      <c r="M69" s="16">
        <f t="shared" si="28"/>
        <v>44321150.371244654</v>
      </c>
      <c r="N69" s="16">
        <f t="shared" si="28"/>
        <v>57849038.929734334</v>
      </c>
      <c r="O69" s="16">
        <f t="shared" si="28"/>
        <v>85563576.383562863</v>
      </c>
      <c r="P69" s="16">
        <f t="shared" si="28"/>
        <v>119488737.85344821</v>
      </c>
      <c r="Q69" s="16">
        <f t="shared" si="28"/>
        <v>150750938.20134646</v>
      </c>
      <c r="R69" s="16">
        <f t="shared" si="28"/>
        <v>190034874.8466965</v>
      </c>
      <c r="S69" s="16">
        <f t="shared" si="28"/>
        <v>245985434.97983769</v>
      </c>
      <c r="T69" s="16">
        <f t="shared" si="28"/>
        <v>307110466.19837725</v>
      </c>
      <c r="U69" s="16">
        <f t="shared" si="28"/>
        <v>366300998.59997213</v>
      </c>
      <c r="V69" s="16">
        <f t="shared" si="28"/>
        <v>436634168.96256071</v>
      </c>
    </row>
    <row r="70" spans="1:22" x14ac:dyDescent="0.35">
      <c r="B70" s="7" t="s">
        <v>209</v>
      </c>
      <c r="C70" s="15">
        <f t="shared" ref="C70:V70" si="29">IF(C62=0,0,C68/C62)</f>
        <v>0</v>
      </c>
      <c r="D70" s="15">
        <f t="shared" si="29"/>
        <v>0</v>
      </c>
      <c r="E70" s="15">
        <f t="shared" si="29"/>
        <v>0</v>
      </c>
      <c r="F70" s="15">
        <f t="shared" si="29"/>
        <v>0</v>
      </c>
      <c r="G70" s="15">
        <f t="shared" si="29"/>
        <v>4531.6160366541617</v>
      </c>
      <c r="H70" s="15">
        <f t="shared" si="29"/>
        <v>4551.7223504049889</v>
      </c>
      <c r="I70" s="15">
        <f t="shared" si="29"/>
        <v>4565.5782417184555</v>
      </c>
      <c r="J70" s="15">
        <f t="shared" si="29"/>
        <v>4575.1293859879506</v>
      </c>
      <c r="K70" s="15">
        <f t="shared" si="29"/>
        <v>3916.0885292028397</v>
      </c>
      <c r="L70" s="15">
        <f t="shared" si="29"/>
        <v>3941.1992622936996</v>
      </c>
      <c r="M70" s="15">
        <f t="shared" si="29"/>
        <v>3959.5166081628299</v>
      </c>
      <c r="N70" s="15">
        <f t="shared" si="29"/>
        <v>3972.8810281966562</v>
      </c>
      <c r="O70" s="15">
        <f t="shared" si="29"/>
        <v>3963.5666141977918</v>
      </c>
      <c r="P70" s="15">
        <f t="shared" si="29"/>
        <v>3978.9425183899311</v>
      </c>
      <c r="Q70" s="15">
        <f t="shared" si="29"/>
        <v>3990.5309241284831</v>
      </c>
      <c r="R70" s="15">
        <f t="shared" si="29"/>
        <v>3999.2666191138028</v>
      </c>
      <c r="S70" s="15">
        <f t="shared" si="29"/>
        <v>4000.0207727657958</v>
      </c>
      <c r="T70" s="15">
        <f t="shared" si="29"/>
        <v>4013.3783819749315</v>
      </c>
      <c r="U70" s="15">
        <f t="shared" si="29"/>
        <v>4024.0223190044517</v>
      </c>
      <c r="V70" s="15">
        <f t="shared" si="29"/>
        <v>4032.5056742467009</v>
      </c>
    </row>
    <row r="71" spans="1:22" x14ac:dyDescent="0.35">
      <c r="B71" s="9" t="s">
        <v>210</v>
      </c>
      <c r="C71" s="17">
        <f>C62/'Consumer Model'!C12</f>
        <v>0</v>
      </c>
      <c r="D71" s="17">
        <f>D62/'Consumer Model'!D12</f>
        <v>0</v>
      </c>
      <c r="E71" s="17">
        <f>E62/'Consumer Model'!E12</f>
        <v>0</v>
      </c>
      <c r="F71" s="17">
        <f>F62/'Consumer Model'!F12</f>
        <v>0</v>
      </c>
      <c r="G71" s="17">
        <f>G62/'Consumer Model'!G12</f>
        <v>9.6412500000000012E-2</v>
      </c>
      <c r="H71" s="17">
        <f>H62/'Consumer Model'!H12</f>
        <v>9.6412499999999998E-2</v>
      </c>
      <c r="I71" s="17">
        <f>I62/'Consumer Model'!I12</f>
        <v>9.6412499999999998E-2</v>
      </c>
      <c r="J71" s="17">
        <f>J62/'Consumer Model'!J12</f>
        <v>9.6412499999999998E-2</v>
      </c>
      <c r="K71" s="17">
        <f>K62/'Consumer Model'!K12</f>
        <v>0.16485</v>
      </c>
      <c r="L71" s="17">
        <f>L62/'Consumer Model'!L12</f>
        <v>0.16485</v>
      </c>
      <c r="M71" s="17">
        <f>M62/'Consumer Model'!M12</f>
        <v>0.16485</v>
      </c>
      <c r="N71" s="17">
        <f>N62/'Consumer Model'!N12</f>
        <v>0.16485</v>
      </c>
      <c r="O71" s="17">
        <f>O62/'Consumer Model'!O12</f>
        <v>0.21195</v>
      </c>
      <c r="P71" s="17">
        <f>P62/'Consumer Model'!P12</f>
        <v>0.21195</v>
      </c>
      <c r="Q71" s="17">
        <f>Q62/'Consumer Model'!Q12</f>
        <v>0.21194999999999997</v>
      </c>
      <c r="R71" s="17">
        <f>R62/'Consumer Model'!R12</f>
        <v>0.21195</v>
      </c>
      <c r="S71" s="17">
        <f>S62/'Consumer Model'!S12</f>
        <v>0.23549999999999999</v>
      </c>
      <c r="T71" s="17">
        <f>T62/'Consumer Model'!T12</f>
        <v>0.23549999999999999</v>
      </c>
      <c r="U71" s="17">
        <f>U62/'Consumer Model'!U12</f>
        <v>0.23549999999999999</v>
      </c>
      <c r="V71" s="17">
        <f>V62/'Consumer Model'!V12</f>
        <v>0.23549999999999999</v>
      </c>
    </row>
    <row r="73" spans="1:22" ht="16" customHeight="1" x14ac:dyDescent="0.35">
      <c r="A73" s="4" t="s">
        <v>211</v>
      </c>
      <c r="B73" s="5"/>
      <c r="C73" s="5"/>
      <c r="D73" s="5"/>
      <c r="E73" s="5"/>
      <c r="F73" s="5"/>
      <c r="G73" s="5"/>
      <c r="H73" s="5"/>
    </row>
    <row r="74" spans="1:22" x14ac:dyDescent="0.35">
      <c r="B74" s="7" t="s">
        <v>212</v>
      </c>
      <c r="C74" s="43">
        <f>C69*Assumptions!$C$12/4</f>
        <v>0</v>
      </c>
      <c r="D74" s="43">
        <f>D69*Assumptions!$C$12/4</f>
        <v>0</v>
      </c>
      <c r="E74" s="43">
        <f>E69*Assumptions!$C$12/4</f>
        <v>0</v>
      </c>
      <c r="F74" s="43">
        <f>F69*Assumptions!$C$12/4</f>
        <v>0</v>
      </c>
      <c r="G74" s="43">
        <f>G69*Assumptions!$C$12/4</f>
        <v>3734.9386958065315</v>
      </c>
      <c r="H74" s="43">
        <f>H69*Assumptions!$C$12/4</f>
        <v>8866.1883671045034</v>
      </c>
      <c r="I74" s="43">
        <f>I69*Assumptions!$C$12/4</f>
        <v>12171.047462567896</v>
      </c>
      <c r="J74" s="43">
        <f>J69*Assumptions!$C$12/4</f>
        <v>16688.852895913496</v>
      </c>
      <c r="K74" s="43">
        <f>K69*Assumptions!$C$12/4</f>
        <v>28009.047763822568</v>
      </c>
      <c r="L74" s="43">
        <f>L69*Assumptions!$C$12/4</f>
        <v>42383.221804705558</v>
      </c>
      <c r="M74" s="43">
        <f>M69*Assumptions!$C$12/4</f>
        <v>55401.437964055818</v>
      </c>
      <c r="N74" s="43">
        <f>N69*Assumptions!$C$12/4</f>
        <v>72311.298662167916</v>
      </c>
      <c r="O74" s="43">
        <f>O69*Assumptions!$C$12/4</f>
        <v>106954.47047945358</v>
      </c>
      <c r="P74" s="43">
        <f>P69*Assumptions!$C$12/4</f>
        <v>149360.92231681026</v>
      </c>
      <c r="Q74" s="43">
        <f>Q69*Assumptions!$C$12/4</f>
        <v>188438.67275168307</v>
      </c>
      <c r="R74" s="43">
        <f>R69*Assumptions!$C$12/4</f>
        <v>237543.59355837063</v>
      </c>
      <c r="S74" s="43">
        <f>S69*Assumptions!$C$12/4</f>
        <v>307481.79372479714</v>
      </c>
      <c r="T74" s="43">
        <f>T69*Assumptions!$C$12/4</f>
        <v>383888.08274797158</v>
      </c>
      <c r="U74" s="43">
        <f>U69*Assumptions!$C$12/4</f>
        <v>457876.2482499652</v>
      </c>
      <c r="V74" s="43">
        <f>V69*Assumptions!$C$12/4</f>
        <v>545792.71120320086</v>
      </c>
    </row>
    <row r="75" spans="1:22" x14ac:dyDescent="0.35">
      <c r="B75" s="9" t="s">
        <v>213</v>
      </c>
      <c r="C75" s="16">
        <f>C68*Assumptions!$C$12</f>
        <v>0</v>
      </c>
      <c r="D75" s="16">
        <f>D68*Assumptions!$C$12</f>
        <v>0</v>
      </c>
      <c r="E75" s="16">
        <f>E68*Assumptions!$C$12</f>
        <v>0</v>
      </c>
      <c r="F75" s="16">
        <f>F68*Assumptions!$C$12</f>
        <v>0</v>
      </c>
      <c r="G75" s="16">
        <f>G68*Assumptions!$C$12</f>
        <v>29879.509566452252</v>
      </c>
      <c r="H75" s="16">
        <f>H68*Assumptions!$C$12</f>
        <v>41049.997370383782</v>
      </c>
      <c r="I75" s="16">
        <f>I68*Assumptions!$C$12</f>
        <v>56318.382330159395</v>
      </c>
      <c r="J75" s="16">
        <f>J68*Assumptions!$C$12</f>
        <v>77192.440837148577</v>
      </c>
      <c r="K75" s="16">
        <f>K68*Assumptions!$C$12</f>
        <v>146879.94127343196</v>
      </c>
      <c r="L75" s="16">
        <f>L68*Assumptions!$C$12</f>
        <v>192185.83316421256</v>
      </c>
      <c r="M75" s="16">
        <f>M68*Assumptions!$C$12</f>
        <v>251025.67054823402</v>
      </c>
      <c r="N75" s="16">
        <f>N68*Assumptions!$C$12</f>
        <v>327464.71874910942</v>
      </c>
      <c r="O75" s="16">
        <f>O68*Assumptions!$C$12</f>
        <v>528171.04508651933</v>
      </c>
      <c r="P75" s="16">
        <f>P68*Assumptions!$C$12</f>
        <v>666716.33344796288</v>
      </c>
      <c r="Q75" s="16">
        <f>Q68*Assumptions!$C$12</f>
        <v>840793.04856550193</v>
      </c>
      <c r="R75" s="16">
        <f>R68*Assumptions!$C$12</f>
        <v>1059555.699901463</v>
      </c>
      <c r="S75" s="16">
        <f>S68*Assumptions!$C$12</f>
        <v>1400298.6498969139</v>
      </c>
      <c r="T75" s="16">
        <f>T68*Assumptions!$C$12</f>
        <v>1670806.0120868587</v>
      </c>
      <c r="U75" s="16">
        <f>U68*Assumptions!$C$12</f>
        <v>1992203.9739128619</v>
      </c>
      <c r="V75" s="16">
        <f>V68*Assumptions!$C$12</f>
        <v>2374137.7157127452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0"/>
  <sheetViews>
    <sheetView showGridLines="0" workbookViewId="0"/>
  </sheetViews>
  <sheetFormatPr defaultRowHeight="14.5" x14ac:dyDescent="0.35"/>
  <cols>
    <col min="1" max="1" width="3" customWidth="1"/>
    <col min="2" max="2" width="44" customWidth="1"/>
    <col min="3" max="22" width="12" customWidth="1"/>
  </cols>
  <sheetData>
    <row r="1" spans="1:22" ht="22" customHeight="1" x14ac:dyDescent="0.45">
      <c r="A1" s="1" t="s">
        <v>214</v>
      </c>
      <c r="B1" s="2"/>
      <c r="C1" s="2"/>
      <c r="D1" s="2"/>
      <c r="E1" s="2"/>
      <c r="F1" s="2"/>
      <c r="G1" s="2"/>
      <c r="H1" s="2"/>
    </row>
    <row r="2" spans="1:22" x14ac:dyDescent="0.35">
      <c r="A2" s="6" t="s">
        <v>215</v>
      </c>
    </row>
    <row r="5" spans="1:22" x14ac:dyDescent="0.35">
      <c r="B5" s="13" t="s">
        <v>146</v>
      </c>
      <c r="C5" s="39">
        <v>1</v>
      </c>
      <c r="D5" s="39">
        <v>2</v>
      </c>
      <c r="E5" s="39">
        <v>3</v>
      </c>
      <c r="F5" s="39">
        <v>4</v>
      </c>
      <c r="G5" s="39">
        <v>5</v>
      </c>
      <c r="H5" s="39">
        <v>6</v>
      </c>
      <c r="I5" s="39">
        <v>7</v>
      </c>
      <c r="J5" s="39">
        <v>8</v>
      </c>
      <c r="K5" s="39">
        <v>9</v>
      </c>
      <c r="L5" s="39">
        <v>10</v>
      </c>
      <c r="M5" s="39">
        <v>11</v>
      </c>
      <c r="N5" s="39">
        <v>12</v>
      </c>
      <c r="O5" s="39">
        <v>13</v>
      </c>
      <c r="P5" s="39">
        <v>14</v>
      </c>
      <c r="Q5" s="39">
        <v>15</v>
      </c>
      <c r="R5" s="39">
        <v>16</v>
      </c>
      <c r="S5" s="39">
        <v>17</v>
      </c>
      <c r="T5" s="39">
        <v>18</v>
      </c>
      <c r="U5" s="39">
        <v>19</v>
      </c>
      <c r="V5" s="39">
        <v>20</v>
      </c>
    </row>
    <row r="6" spans="1:22" x14ac:dyDescent="0.35">
      <c r="B6" s="9" t="s">
        <v>147</v>
      </c>
      <c r="C6" s="40">
        <f t="shared" ref="C6:V6" si="0">INT((C5-1)/4)+1</f>
        <v>1</v>
      </c>
      <c r="D6" s="40">
        <f t="shared" si="0"/>
        <v>1</v>
      </c>
      <c r="E6" s="40">
        <f t="shared" si="0"/>
        <v>1</v>
      </c>
      <c r="F6" s="40">
        <f t="shared" si="0"/>
        <v>1</v>
      </c>
      <c r="G6" s="40">
        <f t="shared" si="0"/>
        <v>2</v>
      </c>
      <c r="H6" s="40">
        <f t="shared" si="0"/>
        <v>2</v>
      </c>
      <c r="I6" s="40">
        <f t="shared" si="0"/>
        <v>2</v>
      </c>
      <c r="J6" s="40">
        <f t="shared" si="0"/>
        <v>2</v>
      </c>
      <c r="K6" s="40">
        <f t="shared" si="0"/>
        <v>3</v>
      </c>
      <c r="L6" s="40">
        <f t="shared" si="0"/>
        <v>3</v>
      </c>
      <c r="M6" s="40">
        <f t="shared" si="0"/>
        <v>3</v>
      </c>
      <c r="N6" s="40">
        <f t="shared" si="0"/>
        <v>3</v>
      </c>
      <c r="O6" s="40">
        <f t="shared" si="0"/>
        <v>4</v>
      </c>
      <c r="P6" s="40">
        <f t="shared" si="0"/>
        <v>4</v>
      </c>
      <c r="Q6" s="40">
        <f t="shared" si="0"/>
        <v>4</v>
      </c>
      <c r="R6" s="40">
        <f t="shared" si="0"/>
        <v>4</v>
      </c>
      <c r="S6" s="40">
        <f t="shared" si="0"/>
        <v>5</v>
      </c>
      <c r="T6" s="40">
        <f t="shared" si="0"/>
        <v>5</v>
      </c>
      <c r="U6" s="40">
        <f t="shared" si="0"/>
        <v>5</v>
      </c>
      <c r="V6" s="40">
        <f t="shared" si="0"/>
        <v>5</v>
      </c>
    </row>
    <row r="7" spans="1:22" x14ac:dyDescent="0.35">
      <c r="B7" s="9" t="s">
        <v>148</v>
      </c>
      <c r="C7" s="41" t="s">
        <v>149</v>
      </c>
      <c r="D7" s="41" t="s">
        <v>150</v>
      </c>
      <c r="E7" s="41" t="s">
        <v>151</v>
      </c>
      <c r="F7" s="41" t="s">
        <v>152</v>
      </c>
      <c r="G7" s="41" t="s">
        <v>153</v>
      </c>
      <c r="H7" s="41" t="s">
        <v>154</v>
      </c>
      <c r="I7" s="41" t="s">
        <v>155</v>
      </c>
      <c r="J7" s="41" t="s">
        <v>156</v>
      </c>
      <c r="K7" s="41" t="s">
        <v>157</v>
      </c>
      <c r="L7" s="41" t="s">
        <v>158</v>
      </c>
      <c r="M7" s="41" t="s">
        <v>159</v>
      </c>
      <c r="N7" s="41" t="s">
        <v>160</v>
      </c>
      <c r="O7" s="41" t="s">
        <v>161</v>
      </c>
      <c r="P7" s="41" t="s">
        <v>162</v>
      </c>
      <c r="Q7" s="41" t="s">
        <v>163</v>
      </c>
      <c r="R7" s="41" t="s">
        <v>164</v>
      </c>
      <c r="S7" s="41" t="s">
        <v>165</v>
      </c>
      <c r="T7" s="41" t="s">
        <v>166</v>
      </c>
      <c r="U7" s="41" t="s">
        <v>167</v>
      </c>
      <c r="V7" s="41" t="s">
        <v>168</v>
      </c>
    </row>
    <row r="9" spans="1:22" ht="16" customHeight="1" x14ac:dyDescent="0.35">
      <c r="A9" s="4" t="s">
        <v>216</v>
      </c>
      <c r="B9" s="5"/>
      <c r="C9" s="5"/>
      <c r="D9" s="5"/>
      <c r="E9" s="5"/>
      <c r="F9" s="5"/>
      <c r="G9" s="5"/>
      <c r="H9" s="5"/>
    </row>
    <row r="10" spans="1:22" x14ac:dyDescent="0.35">
      <c r="B10" s="9" t="s">
        <v>217</v>
      </c>
      <c r="C10" s="16">
        <f>'Consumer Model'!C19</f>
        <v>2625474.0424867822</v>
      </c>
      <c r="D10" s="16">
        <f>'Consumer Model'!D19</f>
        <v>4668826.4313459015</v>
      </c>
      <c r="E10" s="16">
        <f>'Consumer Model'!E19</f>
        <v>8302477.9119079188</v>
      </c>
      <c r="F10" s="16">
        <f>'Consumer Model'!F19</f>
        <v>14764125.523048799</v>
      </c>
      <c r="G10" s="16">
        <f>'Consumer Model'!G19</f>
        <v>25261278.478585117</v>
      </c>
      <c r="H10" s="16">
        <f>'Consumer Model'!H19</f>
        <v>34551932.10115736</v>
      </c>
      <c r="I10" s="16">
        <f>'Consumer Model'!I19</f>
        <v>47259524.60937579</v>
      </c>
      <c r="J10" s="16">
        <f>'Consumer Model'!J19</f>
        <v>64640745.986803554</v>
      </c>
      <c r="K10" s="16">
        <f>'Consumer Model'!K19</f>
        <v>95699311.667634949</v>
      </c>
      <c r="L10" s="16">
        <f>'Consumer Model'!L19</f>
        <v>124420460.08923163</v>
      </c>
      <c r="M10" s="16">
        <f>'Consumer Model'!M19</f>
        <v>161761360.86098409</v>
      </c>
      <c r="N10" s="16">
        <f>'Consumer Model'!N19</f>
        <v>210308962.43938738</v>
      </c>
      <c r="O10" s="16">
        <f>'Consumer Model'!O19</f>
        <v>268352398.95355895</v>
      </c>
      <c r="P10" s="16">
        <f>'Consumer Model'!P19</f>
        <v>337435277.37981701</v>
      </c>
      <c r="Q10" s="16">
        <f>'Consumer Model'!Q19</f>
        <v>424302398.13171595</v>
      </c>
      <c r="R10" s="16">
        <f>'Consumer Model'!R19</f>
        <v>533532019.70545787</v>
      </c>
      <c r="S10" s="16">
        <f>'Consumer Model'!S19</f>
        <v>650604989.48987114</v>
      </c>
      <c r="T10" s="16">
        <f>'Consumer Model'!T19</f>
        <v>773704082.55762541</v>
      </c>
      <c r="U10" s="16">
        <f>'Consumer Model'!U19</f>
        <v>920094399.8841809</v>
      </c>
      <c r="V10" s="16">
        <f>'Consumer Model'!V19</f>
        <v>1094182806.8164268</v>
      </c>
    </row>
    <row r="11" spans="1:22" x14ac:dyDescent="0.35">
      <c r="B11" s="9" t="s">
        <v>218</v>
      </c>
      <c r="C11" s="16">
        <f>C10*Assumptions!$C$5/4</f>
        <v>31505.688509841388</v>
      </c>
      <c r="D11" s="16">
        <f>D10*Assumptions!$C$5/4</f>
        <v>56025.917176150819</v>
      </c>
      <c r="E11" s="16">
        <f>E10*Assumptions!$C$5/4</f>
        <v>99629.734942895026</v>
      </c>
      <c r="F11" s="16">
        <f>F10*Assumptions!$C$5/4</f>
        <v>177169.5062765856</v>
      </c>
      <c r="G11" s="16">
        <f>G10*Assumptions!$C$5/4</f>
        <v>303135.34174302139</v>
      </c>
      <c r="H11" s="16">
        <f>H10*Assumptions!$C$5/4</f>
        <v>414623.18521388836</v>
      </c>
      <c r="I11" s="16">
        <f>I10*Assumptions!$C$5/4</f>
        <v>567114.29531250952</v>
      </c>
      <c r="J11" s="16">
        <f>J10*Assumptions!$C$5/4</f>
        <v>775688.95184164261</v>
      </c>
      <c r="K11" s="16">
        <f>K10*Assumptions!$C$5/4</f>
        <v>1148391.7400116194</v>
      </c>
      <c r="L11" s="16">
        <f>L10*Assumptions!$C$5/4</f>
        <v>1493045.5210707795</v>
      </c>
      <c r="M11" s="16">
        <f>M10*Assumptions!$C$5/4</f>
        <v>1941136.3303318091</v>
      </c>
      <c r="N11" s="16">
        <f>N10*Assumptions!$C$5/4</f>
        <v>2523707.5492726485</v>
      </c>
      <c r="O11" s="16">
        <f>O10*Assumptions!$C$5/4</f>
        <v>3220228.7874427075</v>
      </c>
      <c r="P11" s="16">
        <f>P10*Assumptions!$C$5/4</f>
        <v>4049223.3285578042</v>
      </c>
      <c r="Q11" s="16">
        <f>Q10*Assumptions!$C$5/4</f>
        <v>5091628.7775805918</v>
      </c>
      <c r="R11" s="16">
        <f>R10*Assumptions!$C$5/4</f>
        <v>6402384.2364654941</v>
      </c>
      <c r="S11" s="16">
        <f>S10*Assumptions!$C$5/4</f>
        <v>7807259.8738784539</v>
      </c>
      <c r="T11" s="16">
        <f>T10*Assumptions!$C$5/4</f>
        <v>9284448.9906915054</v>
      </c>
      <c r="U11" s="16">
        <f>U10*Assumptions!$C$5/4</f>
        <v>11041132.798610171</v>
      </c>
      <c r="V11" s="16">
        <f>V10*Assumptions!$C$5/4</f>
        <v>13130193.681797121</v>
      </c>
    </row>
    <row r="12" spans="1:22" x14ac:dyDescent="0.35">
      <c r="B12" s="9" t="s">
        <v>219</v>
      </c>
      <c r="C12" s="16">
        <f>-C11*Assumptions!$C$7</f>
        <v>-25204.550807873111</v>
      </c>
      <c r="D12" s="16">
        <f>-D11*Assumptions!$C$7</f>
        <v>-44820.733740920659</v>
      </c>
      <c r="E12" s="16">
        <f>-E11*Assumptions!$C$7</f>
        <v>-79703.787954316023</v>
      </c>
      <c r="F12" s="16">
        <f>-F11*Assumptions!$C$7</f>
        <v>-141735.60502126848</v>
      </c>
      <c r="G12" s="16">
        <f>-G11*Assumptions!$C$7</f>
        <v>-242508.27339441713</v>
      </c>
      <c r="H12" s="16">
        <f>-H11*Assumptions!$C$7</f>
        <v>-331698.54817111068</v>
      </c>
      <c r="I12" s="16">
        <f>-I11*Assumptions!$C$7</f>
        <v>-453691.43625000765</v>
      </c>
      <c r="J12" s="16">
        <f>-J11*Assumptions!$C$7</f>
        <v>-620551.16147331416</v>
      </c>
      <c r="K12" s="16">
        <f>-K11*Assumptions!$C$7</f>
        <v>-918713.39200929552</v>
      </c>
      <c r="L12" s="16">
        <f>-L11*Assumptions!$C$7</f>
        <v>-1194436.4168566237</v>
      </c>
      <c r="M12" s="16">
        <f>-M11*Assumptions!$C$7</f>
        <v>-1552909.0642654474</v>
      </c>
      <c r="N12" s="16">
        <f>-N11*Assumptions!$C$7</f>
        <v>-2018966.039418119</v>
      </c>
      <c r="O12" s="16">
        <f>-O11*Assumptions!$C$7</f>
        <v>-2576183.0299541662</v>
      </c>
      <c r="P12" s="16">
        <f>-P11*Assumptions!$C$7</f>
        <v>-3239378.6628462435</v>
      </c>
      <c r="Q12" s="16">
        <f>-Q11*Assumptions!$C$7</f>
        <v>-4073303.0220644735</v>
      </c>
      <c r="R12" s="16">
        <f>-R11*Assumptions!$C$7</f>
        <v>-5121907.3891723957</v>
      </c>
      <c r="S12" s="16">
        <f>-S11*Assumptions!$C$7</f>
        <v>-6245807.8991027633</v>
      </c>
      <c r="T12" s="16">
        <f>-T11*Assumptions!$C$7</f>
        <v>-7427559.1925532045</v>
      </c>
      <c r="U12" s="16">
        <f>-U11*Assumptions!$C$7</f>
        <v>-8832906.238888137</v>
      </c>
      <c r="V12" s="16">
        <f>-V11*Assumptions!$C$7</f>
        <v>-10504154.945437698</v>
      </c>
    </row>
    <row r="13" spans="1:22" x14ac:dyDescent="0.35">
      <c r="B13" s="7" t="s">
        <v>220</v>
      </c>
      <c r="C13" s="43">
        <f>C11*Assumptions!$C$6</f>
        <v>6301.1377019682777</v>
      </c>
      <c r="D13" s="43">
        <f>D11*Assumptions!$C$6</f>
        <v>11205.183435230165</v>
      </c>
      <c r="E13" s="43">
        <f>E11*Assumptions!$C$6</f>
        <v>19925.946988579006</v>
      </c>
      <c r="F13" s="43">
        <f>F11*Assumptions!$C$6</f>
        <v>35433.90125531712</v>
      </c>
      <c r="G13" s="43">
        <f>G11*Assumptions!$C$6</f>
        <v>60627.068348604284</v>
      </c>
      <c r="H13" s="43">
        <f>H11*Assumptions!$C$6</f>
        <v>82924.637042777671</v>
      </c>
      <c r="I13" s="43">
        <f>I11*Assumptions!$C$6</f>
        <v>113422.85906250191</v>
      </c>
      <c r="J13" s="43">
        <f>J11*Assumptions!$C$6</f>
        <v>155137.79036832854</v>
      </c>
      <c r="K13" s="43">
        <f>K11*Assumptions!$C$6</f>
        <v>229678.34800232388</v>
      </c>
      <c r="L13" s="43">
        <f>L11*Assumptions!$C$6</f>
        <v>298609.10421415593</v>
      </c>
      <c r="M13" s="43">
        <f>M11*Assumptions!$C$6</f>
        <v>388227.26606636186</v>
      </c>
      <c r="N13" s="43">
        <f>N11*Assumptions!$C$6</f>
        <v>504741.50985452975</v>
      </c>
      <c r="O13" s="43">
        <f>O11*Assumptions!$C$6</f>
        <v>644045.75748854154</v>
      </c>
      <c r="P13" s="43">
        <f>P11*Assumptions!$C$6</f>
        <v>809844.66571156087</v>
      </c>
      <c r="Q13" s="43">
        <f>Q11*Assumptions!$C$6</f>
        <v>1018325.7555161184</v>
      </c>
      <c r="R13" s="43">
        <f>R11*Assumptions!$C$6</f>
        <v>1280476.8472930989</v>
      </c>
      <c r="S13" s="43">
        <f>S11*Assumptions!$C$6</f>
        <v>1561451.9747756908</v>
      </c>
      <c r="T13" s="43">
        <f>T11*Assumptions!$C$6</f>
        <v>1856889.7981383011</v>
      </c>
      <c r="U13" s="43">
        <f>U11*Assumptions!$C$6</f>
        <v>2208226.5597220343</v>
      </c>
      <c r="V13" s="43">
        <f>V11*Assumptions!$C$6</f>
        <v>2626038.7363594244</v>
      </c>
    </row>
    <row r="14" spans="1:22" x14ac:dyDescent="0.35">
      <c r="B14" s="9" t="s">
        <v>221</v>
      </c>
      <c r="C14" s="16">
        <f>C10*Assumptions!$C$47*3</f>
        <v>1575284.4254920695</v>
      </c>
      <c r="D14" s="16">
        <f>D10*Assumptions!$C$47*3</f>
        <v>2801295.858807541</v>
      </c>
      <c r="E14" s="16">
        <f>E10*Assumptions!$C$47*3</f>
        <v>4981486.7471447513</v>
      </c>
      <c r="F14" s="16">
        <f>F10*Assumptions!$C$47*3</f>
        <v>8858475.3138292804</v>
      </c>
      <c r="G14" s="16">
        <f>G10*Assumptions!$C$47*3</f>
        <v>15156767.087151071</v>
      </c>
      <c r="H14" s="16">
        <f>H10*Assumptions!$C$47*3</f>
        <v>20731159.260694418</v>
      </c>
      <c r="I14" s="16">
        <f>I10*Assumptions!$C$47*3</f>
        <v>28355714.765625477</v>
      </c>
      <c r="J14" s="16">
        <f>J10*Assumptions!$C$47*3</f>
        <v>38784447.592082135</v>
      </c>
      <c r="K14" s="16">
        <f>K10*Assumptions!$C$47*3</f>
        <v>57419587.000580974</v>
      </c>
      <c r="L14" s="16">
        <f>L10*Assumptions!$C$47*3</f>
        <v>74652276.053538978</v>
      </c>
      <c r="M14" s="16">
        <f>M10*Assumptions!$C$47*3</f>
        <v>97056816.516590461</v>
      </c>
      <c r="N14" s="16">
        <f>N10*Assumptions!$C$47*3</f>
        <v>126185377.46363243</v>
      </c>
      <c r="O14" s="16">
        <f>O10*Assumptions!$C$47*3</f>
        <v>161011439.37213537</v>
      </c>
      <c r="P14" s="16">
        <f>P10*Assumptions!$C$47*3</f>
        <v>202461166.42789018</v>
      </c>
      <c r="Q14" s="16">
        <f>Q10*Assumptions!$C$47*3</f>
        <v>254581438.87902957</v>
      </c>
      <c r="R14" s="16">
        <f>R10*Assumptions!$C$47*3</f>
        <v>320119211.82327473</v>
      </c>
      <c r="S14" s="16">
        <f>S10*Assumptions!$C$47*3</f>
        <v>390362993.6939227</v>
      </c>
      <c r="T14" s="16">
        <f>T10*Assumptions!$C$47*3</f>
        <v>464222449.53457528</v>
      </c>
      <c r="U14" s="16">
        <f>U10*Assumptions!$C$47*3</f>
        <v>552056639.93050861</v>
      </c>
      <c r="V14" s="16">
        <f>V10*Assumptions!$C$47*3</f>
        <v>656509684.08985615</v>
      </c>
    </row>
    <row r="15" spans="1:22" x14ac:dyDescent="0.35">
      <c r="B15" s="9" t="s">
        <v>222</v>
      </c>
      <c r="C15" s="16">
        <f>C14*Assumptions!$C$48*Assumptions!$C$50</f>
        <v>3150.5688509841393</v>
      </c>
      <c r="D15" s="16">
        <f>D14*Assumptions!$C$48*Assumptions!$C$50</f>
        <v>5602.5917176150824</v>
      </c>
      <c r="E15" s="16">
        <f>E14*Assumptions!$C$48*Assumptions!$C$50</f>
        <v>9962.9734942895029</v>
      </c>
      <c r="F15" s="16">
        <f>F14*Assumptions!$C$48*Assumptions!$C$50</f>
        <v>17716.950627658563</v>
      </c>
      <c r="G15" s="16">
        <f>G14*Assumptions!$C$48*Assumptions!$C$50</f>
        <v>30313.534174302145</v>
      </c>
      <c r="H15" s="16">
        <f>H14*Assumptions!$C$48*Assumptions!$C$50</f>
        <v>41462.318521388843</v>
      </c>
      <c r="I15" s="16">
        <f>I14*Assumptions!$C$48*Assumptions!$C$50</f>
        <v>56711.429531250964</v>
      </c>
      <c r="J15" s="16">
        <f>J14*Assumptions!$C$48*Assumptions!$C$50</f>
        <v>77568.89518416427</v>
      </c>
      <c r="K15" s="16">
        <f>K14*Assumptions!$C$48*Assumptions!$C$50</f>
        <v>114839.17400116195</v>
      </c>
      <c r="L15" s="16">
        <f>L14*Assumptions!$C$48*Assumptions!$C$50</f>
        <v>149304.55210707797</v>
      </c>
      <c r="M15" s="16">
        <f>M14*Assumptions!$C$48*Assumptions!$C$50</f>
        <v>194113.63303318096</v>
      </c>
      <c r="N15" s="16">
        <f>N14*Assumptions!$C$48*Assumptions!$C$50</f>
        <v>252370.7549272649</v>
      </c>
      <c r="O15" s="16">
        <f>O14*Assumptions!$C$48*Assumptions!$C$50</f>
        <v>322022.87874427077</v>
      </c>
      <c r="P15" s="16">
        <f>P14*Assumptions!$C$48*Assumptions!$C$50</f>
        <v>404922.33285578043</v>
      </c>
      <c r="Q15" s="16">
        <f>Q14*Assumptions!$C$48*Assumptions!$C$50</f>
        <v>509162.87775805924</v>
      </c>
      <c r="R15" s="16">
        <f>R14*Assumptions!$C$48*Assumptions!$C$50</f>
        <v>640238.42364654958</v>
      </c>
      <c r="S15" s="16">
        <f>S14*Assumptions!$C$48*Assumptions!$C$50</f>
        <v>780725.98738784541</v>
      </c>
      <c r="T15" s="16">
        <f>T14*Assumptions!$C$48*Assumptions!$C$50</f>
        <v>928444.89906915068</v>
      </c>
      <c r="U15" s="16">
        <f>U14*Assumptions!$C$48*Assumptions!$C$50</f>
        <v>1104113.2798610174</v>
      </c>
      <c r="V15" s="16">
        <f>V14*Assumptions!$C$48*Assumptions!$C$50</f>
        <v>1313019.3681797122</v>
      </c>
    </row>
    <row r="16" spans="1:22" x14ac:dyDescent="0.35">
      <c r="B16" s="9" t="s">
        <v>223</v>
      </c>
      <c r="C16" s="16">
        <f>C14*Assumptions!$C$49*Assumptions!$C$51-C14*Assumptions!$C$49/Assumptions!$C$53*Assumptions!$C$52</f>
        <v>157.52844254920683</v>
      </c>
      <c r="D16" s="16">
        <f>D14*Assumptions!$C$49*Assumptions!$C$51-D14*Assumptions!$C$49/Assumptions!$C$53*Assumptions!$C$52</f>
        <v>280.12958588075435</v>
      </c>
      <c r="E16" s="16">
        <f>E14*Assumptions!$C$49*Assumptions!$C$51-E14*Assumptions!$C$49/Assumptions!$C$53*Assumptions!$C$52</f>
        <v>498.14867471447542</v>
      </c>
      <c r="F16" s="16">
        <f>F14*Assumptions!$C$49*Assumptions!$C$51-F14*Assumptions!$C$49/Assumptions!$C$53*Assumptions!$C$52</f>
        <v>885.84753138292945</v>
      </c>
      <c r="G16" s="16">
        <f>G14*Assumptions!$C$49*Assumptions!$C$51-G14*Assumptions!$C$49/Assumptions!$C$53*Assumptions!$C$52</f>
        <v>1515.6767087151056</v>
      </c>
      <c r="H16" s="16">
        <f>H14*Assumptions!$C$49*Assumptions!$C$51-H14*Assumptions!$C$49/Assumptions!$C$53*Assumptions!$C$52</f>
        <v>2073.1159260694476</v>
      </c>
      <c r="I16" s="16">
        <f>I14*Assumptions!$C$49*Assumptions!$C$51-I14*Assumptions!$C$49/Assumptions!$C$53*Assumptions!$C$52</f>
        <v>2835.5714765625453</v>
      </c>
      <c r="J16" s="16">
        <f>J14*Assumptions!$C$49*Assumptions!$C$51-J14*Assumptions!$C$49/Assumptions!$C$53*Assumptions!$C$52</f>
        <v>3878.4447592082142</v>
      </c>
      <c r="K16" s="16">
        <f>K14*Assumptions!$C$49*Assumptions!$C$51-K14*Assumptions!$C$49/Assumptions!$C$53*Assumptions!$C$52</f>
        <v>5741.9587000580941</v>
      </c>
      <c r="L16" s="16">
        <f>L14*Assumptions!$C$49*Assumptions!$C$51-L14*Assumptions!$C$49/Assumptions!$C$53*Assumptions!$C$52</f>
        <v>7465.2276053538953</v>
      </c>
      <c r="M16" s="16">
        <f>M14*Assumptions!$C$49*Assumptions!$C$51-M14*Assumptions!$C$49/Assumptions!$C$53*Assumptions!$C$52</f>
        <v>9705.6816516590188</v>
      </c>
      <c r="N16" s="16">
        <f>N14*Assumptions!$C$49*Assumptions!$C$51-N14*Assumptions!$C$49/Assumptions!$C$53*Assumptions!$C$52</f>
        <v>12618.537746363261</v>
      </c>
      <c r="O16" s="16">
        <f>O14*Assumptions!$C$49*Assumptions!$C$51-O14*Assumptions!$C$49/Assumptions!$C$53*Assumptions!$C$52</f>
        <v>16101.143937213579</v>
      </c>
      <c r="P16" s="16">
        <f>P14*Assumptions!$C$49*Assumptions!$C$51-P14*Assumptions!$C$49/Assumptions!$C$53*Assumptions!$C$52</f>
        <v>20246.116642789042</v>
      </c>
      <c r="Q16" s="16">
        <f>Q14*Assumptions!$C$49*Assumptions!$C$51-Q14*Assumptions!$C$49/Assumptions!$C$53*Assumptions!$C$52</f>
        <v>25458.143887902901</v>
      </c>
      <c r="R16" s="16">
        <f>R14*Assumptions!$C$49*Assumptions!$C$51-R14*Assumptions!$C$49/Assumptions!$C$53*Assumptions!$C$52</f>
        <v>32011.921182327671</v>
      </c>
      <c r="S16" s="16">
        <f>S14*Assumptions!$C$49*Assumptions!$C$51-S14*Assumptions!$C$49/Assumptions!$C$53*Assumptions!$C$52</f>
        <v>39036.299369392334</v>
      </c>
      <c r="T16" s="16">
        <f>T14*Assumptions!$C$49*Assumptions!$C$51-T14*Assumptions!$C$49/Assumptions!$C$53*Assumptions!$C$52</f>
        <v>46422.244953457615</v>
      </c>
      <c r="U16" s="16">
        <f>U14*Assumptions!$C$49*Assumptions!$C$51-U14*Assumptions!$C$49/Assumptions!$C$53*Assumptions!$C$52</f>
        <v>55205.66399305081</v>
      </c>
      <c r="V16" s="16">
        <f>V14*Assumptions!$C$49*Assumptions!$C$51-V14*Assumptions!$C$49/Assumptions!$C$53*Assumptions!$C$52</f>
        <v>65650.968408985762</v>
      </c>
    </row>
    <row r="17" spans="1:22" x14ac:dyDescent="0.35">
      <c r="B17" s="7" t="s">
        <v>224</v>
      </c>
      <c r="C17" s="15">
        <f t="shared" ref="C17:V17" si="1">C15+C16</f>
        <v>3308.0972935333461</v>
      </c>
      <c r="D17" s="15">
        <f t="shared" si="1"/>
        <v>5882.7213034958368</v>
      </c>
      <c r="E17" s="15">
        <f t="shared" si="1"/>
        <v>10461.122169003978</v>
      </c>
      <c r="F17" s="15">
        <f t="shared" si="1"/>
        <v>18602.798159041493</v>
      </c>
      <c r="G17" s="15">
        <f t="shared" si="1"/>
        <v>31829.210883017251</v>
      </c>
      <c r="H17" s="15">
        <f t="shared" si="1"/>
        <v>43535.43444745829</v>
      </c>
      <c r="I17" s="15">
        <f t="shared" si="1"/>
        <v>59547.001007813509</v>
      </c>
      <c r="J17" s="15">
        <f t="shared" si="1"/>
        <v>81447.339943372484</v>
      </c>
      <c r="K17" s="15">
        <f t="shared" si="1"/>
        <v>120581.13270122005</v>
      </c>
      <c r="L17" s="15">
        <f t="shared" si="1"/>
        <v>156769.77971243186</v>
      </c>
      <c r="M17" s="15">
        <f t="shared" si="1"/>
        <v>203819.31468483998</v>
      </c>
      <c r="N17" s="15">
        <f t="shared" si="1"/>
        <v>264989.2926736282</v>
      </c>
      <c r="O17" s="15">
        <f t="shared" si="1"/>
        <v>338124.02268148435</v>
      </c>
      <c r="P17" s="15">
        <f t="shared" si="1"/>
        <v>425168.44949856948</v>
      </c>
      <c r="Q17" s="15">
        <f t="shared" si="1"/>
        <v>534621.02164596214</v>
      </c>
      <c r="R17" s="15">
        <f t="shared" si="1"/>
        <v>672250.34482887725</v>
      </c>
      <c r="S17" s="15">
        <f t="shared" si="1"/>
        <v>819762.28675723774</v>
      </c>
      <c r="T17" s="15">
        <f t="shared" si="1"/>
        <v>974867.14402260829</v>
      </c>
      <c r="U17" s="15">
        <f t="shared" si="1"/>
        <v>1159318.9438540682</v>
      </c>
      <c r="V17" s="15">
        <f t="shared" si="1"/>
        <v>1378670.336588698</v>
      </c>
    </row>
    <row r="18" spans="1:22" x14ac:dyDescent="0.35">
      <c r="B18" s="7" t="s">
        <v>225</v>
      </c>
      <c r="C18" s="43">
        <f>'AUM Engine'!C74</f>
        <v>0</v>
      </c>
      <c r="D18" s="43">
        <f>'AUM Engine'!D74</f>
        <v>0</v>
      </c>
      <c r="E18" s="43">
        <f>'AUM Engine'!E74</f>
        <v>0</v>
      </c>
      <c r="F18" s="43">
        <f>'AUM Engine'!F74</f>
        <v>0</v>
      </c>
      <c r="G18" s="43">
        <f>'AUM Engine'!G74</f>
        <v>3734.9386958065315</v>
      </c>
      <c r="H18" s="43">
        <f>'AUM Engine'!H74</f>
        <v>8866.1883671045034</v>
      </c>
      <c r="I18" s="43">
        <f>'AUM Engine'!I74</f>
        <v>12171.047462567896</v>
      </c>
      <c r="J18" s="43">
        <f>'AUM Engine'!J74</f>
        <v>16688.852895913496</v>
      </c>
      <c r="K18" s="43">
        <f>'AUM Engine'!K74</f>
        <v>28009.047763822568</v>
      </c>
      <c r="L18" s="43">
        <f>'AUM Engine'!L74</f>
        <v>42383.221804705558</v>
      </c>
      <c r="M18" s="43">
        <f>'AUM Engine'!M74</f>
        <v>55401.437964055818</v>
      </c>
      <c r="N18" s="43">
        <f>'AUM Engine'!N74</f>
        <v>72311.298662167916</v>
      </c>
      <c r="O18" s="43">
        <f>'AUM Engine'!O74</f>
        <v>106954.47047945358</v>
      </c>
      <c r="P18" s="43">
        <f>'AUM Engine'!P74</f>
        <v>149360.92231681026</v>
      </c>
      <c r="Q18" s="43">
        <f>'AUM Engine'!Q74</f>
        <v>188438.67275168307</v>
      </c>
      <c r="R18" s="43">
        <f>'AUM Engine'!R74</f>
        <v>237543.59355837063</v>
      </c>
      <c r="S18" s="43">
        <f>'AUM Engine'!S74</f>
        <v>307481.79372479714</v>
      </c>
      <c r="T18" s="43">
        <f>'AUM Engine'!T74</f>
        <v>383888.08274797158</v>
      </c>
      <c r="U18" s="43">
        <f>'AUM Engine'!U74</f>
        <v>457876.2482499652</v>
      </c>
      <c r="V18" s="43">
        <f>'AUM Engine'!V74</f>
        <v>545792.71120320086</v>
      </c>
    </row>
    <row r="19" spans="1:22" x14ac:dyDescent="0.35">
      <c r="B19" s="7" t="s">
        <v>226</v>
      </c>
      <c r="C19" s="45">
        <f t="shared" ref="C19:V19" si="2">C13+C17+C18</f>
        <v>9609.2349955016234</v>
      </c>
      <c r="D19" s="45">
        <f t="shared" si="2"/>
        <v>17087.904738726</v>
      </c>
      <c r="E19" s="45">
        <f t="shared" si="2"/>
        <v>30387.069157582984</v>
      </c>
      <c r="F19" s="45">
        <f t="shared" si="2"/>
        <v>54036.699414358613</v>
      </c>
      <c r="G19" s="45">
        <f t="shared" si="2"/>
        <v>96191.217927428064</v>
      </c>
      <c r="H19" s="45">
        <f t="shared" si="2"/>
        <v>135326.25985734045</v>
      </c>
      <c r="I19" s="45">
        <f t="shared" si="2"/>
        <v>185140.90753288331</v>
      </c>
      <c r="J19" s="45">
        <f t="shared" si="2"/>
        <v>253273.98320761454</v>
      </c>
      <c r="K19" s="45">
        <f t="shared" si="2"/>
        <v>378268.52846736647</v>
      </c>
      <c r="L19" s="45">
        <f t="shared" si="2"/>
        <v>497762.10573129333</v>
      </c>
      <c r="M19" s="45">
        <f t="shared" si="2"/>
        <v>647448.01871525764</v>
      </c>
      <c r="N19" s="45">
        <f t="shared" si="2"/>
        <v>842042.1011903258</v>
      </c>
      <c r="O19" s="45">
        <f t="shared" si="2"/>
        <v>1089124.2506494795</v>
      </c>
      <c r="P19" s="45">
        <f t="shared" si="2"/>
        <v>1384374.0375269407</v>
      </c>
      <c r="Q19" s="45">
        <f t="shared" si="2"/>
        <v>1741385.4499137637</v>
      </c>
      <c r="R19" s="45">
        <f t="shared" si="2"/>
        <v>2190270.7856803467</v>
      </c>
      <c r="S19" s="45">
        <f t="shared" si="2"/>
        <v>2688696.055257726</v>
      </c>
      <c r="T19" s="45">
        <f t="shared" si="2"/>
        <v>3215645.0249088812</v>
      </c>
      <c r="U19" s="45">
        <f t="shared" si="2"/>
        <v>3825421.7518260679</v>
      </c>
      <c r="V19" s="45">
        <f t="shared" si="2"/>
        <v>4550501.7841513231</v>
      </c>
    </row>
    <row r="21" spans="1:22" ht="16" customHeight="1" x14ac:dyDescent="0.35">
      <c r="A21" s="4" t="s">
        <v>227</v>
      </c>
      <c r="B21" s="5"/>
      <c r="C21" s="5"/>
      <c r="D21" s="5"/>
      <c r="E21" s="5"/>
      <c r="F21" s="5"/>
      <c r="G21" s="5"/>
      <c r="H21" s="5"/>
    </row>
    <row r="22" spans="1:22" x14ac:dyDescent="0.35">
      <c r="B22" s="9" t="s">
        <v>228</v>
      </c>
      <c r="C22" s="17">
        <f t="shared" ref="C22:V22" si="3">C13/C19</f>
        <v>0.65573770491803285</v>
      </c>
      <c r="D22" s="17">
        <f t="shared" si="3"/>
        <v>0.65573770491803285</v>
      </c>
      <c r="E22" s="17">
        <f t="shared" si="3"/>
        <v>0.65573770491803274</v>
      </c>
      <c r="F22" s="17">
        <f t="shared" si="3"/>
        <v>0.65573770491803274</v>
      </c>
      <c r="G22" s="17">
        <f t="shared" si="3"/>
        <v>0.63027654348180384</v>
      </c>
      <c r="H22" s="17">
        <f t="shared" si="3"/>
        <v>0.61277565145298452</v>
      </c>
      <c r="I22" s="17">
        <f t="shared" si="3"/>
        <v>0.61262991833588487</v>
      </c>
      <c r="J22" s="17">
        <f t="shared" si="3"/>
        <v>0.61252951607413431</v>
      </c>
      <c r="K22" s="17">
        <f t="shared" si="3"/>
        <v>0.60718333860052653</v>
      </c>
      <c r="L22" s="17">
        <f t="shared" si="3"/>
        <v>0.59990324851155696</v>
      </c>
      <c r="M22" s="17">
        <f t="shared" si="3"/>
        <v>0.59962692732727485</v>
      </c>
      <c r="N22" s="17">
        <f t="shared" si="3"/>
        <v>0.59942550276407569</v>
      </c>
      <c r="O22" s="17">
        <f t="shared" si="3"/>
        <v>0.59134277572506222</v>
      </c>
      <c r="P22" s="17">
        <f t="shared" si="3"/>
        <v>0.5849897814887336</v>
      </c>
      <c r="Q22" s="17">
        <f t="shared" si="3"/>
        <v>0.58477906517856093</v>
      </c>
      <c r="R22" s="17">
        <f t="shared" si="3"/>
        <v>0.584620338117396</v>
      </c>
      <c r="S22" s="17">
        <f t="shared" si="3"/>
        <v>0.5807469281335399</v>
      </c>
      <c r="T22" s="17">
        <f t="shared" si="3"/>
        <v>0.57745484459713281</v>
      </c>
      <c r="U22" s="17">
        <f t="shared" si="3"/>
        <v>0.57725048451662508</v>
      </c>
      <c r="V22" s="17">
        <f t="shared" si="3"/>
        <v>0.57708772810627196</v>
      </c>
    </row>
    <row r="23" spans="1:22" x14ac:dyDescent="0.35">
      <c r="B23" s="9" t="s">
        <v>229</v>
      </c>
      <c r="C23" s="17">
        <f t="shared" ref="C23:V23" si="4">C17/C19</f>
        <v>0.34426229508196726</v>
      </c>
      <c r="D23" s="17">
        <f t="shared" si="4"/>
        <v>0.34426229508196726</v>
      </c>
      <c r="E23" s="17">
        <f t="shared" si="4"/>
        <v>0.34426229508196721</v>
      </c>
      <c r="F23" s="17">
        <f t="shared" si="4"/>
        <v>0.34426229508196726</v>
      </c>
      <c r="G23" s="17">
        <f t="shared" si="4"/>
        <v>0.33089518532794704</v>
      </c>
      <c r="H23" s="17">
        <f t="shared" si="4"/>
        <v>0.32170721701281701</v>
      </c>
      <c r="I23" s="17">
        <f t="shared" si="4"/>
        <v>0.32163070712633957</v>
      </c>
      <c r="J23" s="17">
        <f t="shared" si="4"/>
        <v>0.3215779959389205</v>
      </c>
      <c r="K23" s="17">
        <f t="shared" si="4"/>
        <v>0.31877125276527646</v>
      </c>
      <c r="L23" s="17">
        <f t="shared" si="4"/>
        <v>0.31494920546856736</v>
      </c>
      <c r="M23" s="17">
        <f t="shared" si="4"/>
        <v>0.31480413684681929</v>
      </c>
      <c r="N23" s="17">
        <f t="shared" si="4"/>
        <v>0.31469838895113983</v>
      </c>
      <c r="O23" s="17">
        <f t="shared" si="4"/>
        <v>0.31045495725565769</v>
      </c>
      <c r="P23" s="17">
        <f t="shared" si="4"/>
        <v>0.30711963528158515</v>
      </c>
      <c r="Q23" s="17">
        <f t="shared" si="4"/>
        <v>0.30700900921874447</v>
      </c>
      <c r="R23" s="17">
        <f t="shared" si="4"/>
        <v>0.30692567751163308</v>
      </c>
      <c r="S23" s="17">
        <f t="shared" si="4"/>
        <v>0.30489213727010844</v>
      </c>
      <c r="T23" s="17">
        <f t="shared" si="4"/>
        <v>0.30316379341349475</v>
      </c>
      <c r="U23" s="17">
        <f t="shared" si="4"/>
        <v>0.30305650437122822</v>
      </c>
      <c r="V23" s="17">
        <f t="shared" si="4"/>
        <v>0.30297105725579282</v>
      </c>
    </row>
    <row r="24" spans="1:22" x14ac:dyDescent="0.35">
      <c r="B24" s="7" t="s">
        <v>230</v>
      </c>
      <c r="C24" s="36">
        <f t="shared" ref="C24:V24" si="5">C18/C19</f>
        <v>0</v>
      </c>
      <c r="D24" s="36">
        <f t="shared" si="5"/>
        <v>0</v>
      </c>
      <c r="E24" s="36">
        <f t="shared" si="5"/>
        <v>0</v>
      </c>
      <c r="F24" s="36">
        <f t="shared" si="5"/>
        <v>0</v>
      </c>
      <c r="G24" s="36">
        <f t="shared" si="5"/>
        <v>3.882827119024914E-2</v>
      </c>
      <c r="H24" s="36">
        <f t="shared" si="5"/>
        <v>6.5517131534198525E-2</v>
      </c>
      <c r="I24" s="36">
        <f t="shared" si="5"/>
        <v>6.5739374537775605E-2</v>
      </c>
      <c r="J24" s="36">
        <f t="shared" si="5"/>
        <v>6.5892487986945178E-2</v>
      </c>
      <c r="K24" s="36">
        <f t="shared" si="5"/>
        <v>7.4045408634197091E-2</v>
      </c>
      <c r="L24" s="36">
        <f t="shared" si="5"/>
        <v>8.5147546019875744E-2</v>
      </c>
      <c r="M24" s="36">
        <f t="shared" si="5"/>
        <v>8.5568935825905926E-2</v>
      </c>
      <c r="N24" s="36">
        <f t="shared" si="5"/>
        <v>8.5876108284784536E-2</v>
      </c>
      <c r="O24" s="36">
        <f t="shared" si="5"/>
        <v>9.8202267019280143E-2</v>
      </c>
      <c r="P24" s="36">
        <f t="shared" si="5"/>
        <v>0.10789058322968124</v>
      </c>
      <c r="Q24" s="36">
        <f t="shared" si="5"/>
        <v>0.1082119256026946</v>
      </c>
      <c r="R24" s="36">
        <f t="shared" si="5"/>
        <v>0.10845398437097098</v>
      </c>
      <c r="S24" s="36">
        <f t="shared" si="5"/>
        <v>0.11436093459635152</v>
      </c>
      <c r="T24" s="36">
        <f t="shared" si="5"/>
        <v>0.11938136198937241</v>
      </c>
      <c r="U24" s="36">
        <f t="shared" si="5"/>
        <v>0.11969301111214668</v>
      </c>
      <c r="V24" s="36">
        <f t="shared" si="5"/>
        <v>0.11994121463793518</v>
      </c>
    </row>
    <row r="26" spans="1:22" ht="16" customHeight="1" x14ac:dyDescent="0.35">
      <c r="A26" s="4" t="s">
        <v>231</v>
      </c>
      <c r="B26" s="5"/>
      <c r="C26" s="5"/>
      <c r="D26" s="5"/>
      <c r="E26" s="5"/>
      <c r="F26" s="5"/>
      <c r="G26" s="5"/>
      <c r="H26" s="5"/>
    </row>
    <row r="27" spans="1:22" x14ac:dyDescent="0.35">
      <c r="B27" s="7" t="s">
        <v>232</v>
      </c>
      <c r="C27" s="8">
        <f t="shared" ref="C27:V27" si="6">IF(C13=0,0,C18/C13)</f>
        <v>0</v>
      </c>
      <c r="D27" s="8">
        <f t="shared" si="6"/>
        <v>0</v>
      </c>
      <c r="E27" s="8">
        <f t="shared" si="6"/>
        <v>0</v>
      </c>
      <c r="F27" s="8">
        <f t="shared" si="6"/>
        <v>0</v>
      </c>
      <c r="G27" s="8">
        <f t="shared" si="6"/>
        <v>6.1605134431549913E-2</v>
      </c>
      <c r="H27" s="8">
        <f t="shared" si="6"/>
        <v>0.10691862736198379</v>
      </c>
      <c r="I27" s="8">
        <f t="shared" si="6"/>
        <v>0.10730683006201611</v>
      </c>
      <c r="J27" s="8">
        <f t="shared" si="6"/>
        <v>0.10757438826665494</v>
      </c>
      <c r="K27" s="8">
        <f t="shared" si="6"/>
        <v>0.12194901264066552</v>
      </c>
      <c r="L27" s="8">
        <f t="shared" si="6"/>
        <v>0.14193546414549116</v>
      </c>
      <c r="M27" s="8">
        <f t="shared" si="6"/>
        <v>0.14270362441412279</v>
      </c>
      <c r="N27" s="8">
        <f t="shared" si="6"/>
        <v>0.14326402178217632</v>
      </c>
      <c r="O27" s="8">
        <f t="shared" si="6"/>
        <v>0.16606657094757191</v>
      </c>
      <c r="P27" s="8">
        <f t="shared" si="6"/>
        <v>0.18443156896708823</v>
      </c>
      <c r="Q27" s="8">
        <f t="shared" si="6"/>
        <v>0.18504753683282482</v>
      </c>
      <c r="R27" s="8">
        <f t="shared" si="6"/>
        <v>0.18551182245936956</v>
      </c>
      <c r="S27" s="8">
        <f t="shared" si="6"/>
        <v>0.19692042963343026</v>
      </c>
      <c r="T27" s="8">
        <f t="shared" si="6"/>
        <v>0.20673713816127046</v>
      </c>
      <c r="U27" s="8">
        <f t="shared" si="6"/>
        <v>0.20735021333481354</v>
      </c>
      <c r="V27" s="8">
        <f t="shared" si="6"/>
        <v>0.20783878914134132</v>
      </c>
    </row>
    <row r="28" spans="1:22" x14ac:dyDescent="0.35">
      <c r="B28" s="9" t="s">
        <v>233</v>
      </c>
      <c r="C28" s="9" t="str">
        <f t="shared" ref="C28:V28" si="7">IF(C18&gt;C13,"YES","no")</f>
        <v>no</v>
      </c>
      <c r="D28" s="9" t="str">
        <f t="shared" si="7"/>
        <v>no</v>
      </c>
      <c r="E28" s="9" t="str">
        <f t="shared" si="7"/>
        <v>no</v>
      </c>
      <c r="F28" s="9" t="str">
        <f t="shared" si="7"/>
        <v>no</v>
      </c>
      <c r="G28" s="9" t="str">
        <f t="shared" si="7"/>
        <v>no</v>
      </c>
      <c r="H28" s="9" t="str">
        <f t="shared" si="7"/>
        <v>no</v>
      </c>
      <c r="I28" s="9" t="str">
        <f t="shared" si="7"/>
        <v>no</v>
      </c>
      <c r="J28" s="9" t="str">
        <f t="shared" si="7"/>
        <v>no</v>
      </c>
      <c r="K28" s="9" t="str">
        <f t="shared" si="7"/>
        <v>no</v>
      </c>
      <c r="L28" s="9" t="str">
        <f t="shared" si="7"/>
        <v>no</v>
      </c>
      <c r="M28" s="9" t="str">
        <f t="shared" si="7"/>
        <v>no</v>
      </c>
      <c r="N28" s="9" t="str">
        <f t="shared" si="7"/>
        <v>no</v>
      </c>
      <c r="O28" s="9" t="str">
        <f t="shared" si="7"/>
        <v>no</v>
      </c>
      <c r="P28" s="9" t="str">
        <f t="shared" si="7"/>
        <v>no</v>
      </c>
      <c r="Q28" s="9" t="str">
        <f t="shared" si="7"/>
        <v>no</v>
      </c>
      <c r="R28" s="9" t="str">
        <f t="shared" si="7"/>
        <v>no</v>
      </c>
      <c r="S28" s="9" t="str">
        <f t="shared" si="7"/>
        <v>no</v>
      </c>
      <c r="T28" s="9" t="str">
        <f t="shared" si="7"/>
        <v>no</v>
      </c>
      <c r="U28" s="9" t="str">
        <f t="shared" si="7"/>
        <v>no</v>
      </c>
      <c r="V28" s="9" t="str">
        <f t="shared" si="7"/>
        <v>no</v>
      </c>
    </row>
    <row r="30" spans="1:22" ht="16" customHeight="1" x14ac:dyDescent="0.35">
      <c r="A30" s="4" t="s">
        <v>234</v>
      </c>
      <c r="B30" s="5"/>
      <c r="C30" s="5"/>
      <c r="D30" s="5"/>
      <c r="E30" s="5"/>
      <c r="F30" s="5"/>
      <c r="G30" s="5"/>
      <c r="H30" s="5"/>
    </row>
    <row r="31" spans="1:22" x14ac:dyDescent="0.35">
      <c r="B31" s="13" t="s">
        <v>235</v>
      </c>
      <c r="C31" s="14" t="s">
        <v>12</v>
      </c>
      <c r="D31" s="14" t="s">
        <v>13</v>
      </c>
      <c r="E31" s="14" t="s">
        <v>14</v>
      </c>
      <c r="F31" s="14" t="s">
        <v>15</v>
      </c>
      <c r="G31" s="14" t="s">
        <v>16</v>
      </c>
    </row>
    <row r="32" spans="1:22" x14ac:dyDescent="0.35">
      <c r="B32" s="7" t="s">
        <v>236</v>
      </c>
      <c r="C32" s="15">
        <f>SUMIF('Consumer Model'!$C$6:$V$6,1,$C$13:$V$13)</f>
        <v>72866.169381094573</v>
      </c>
      <c r="D32" s="15">
        <f>SUMIF('Consumer Model'!$C$6:$V$6,2,$C$13:$V$13)</f>
        <v>412112.35482221236</v>
      </c>
      <c r="E32" s="15">
        <f>SUMIF('Consumer Model'!$C$6:$V$6,3,$C$13:$V$13)</f>
        <v>1421256.2281373714</v>
      </c>
      <c r="F32" s="15">
        <f>SUMIF('Consumer Model'!$C$6:$V$6,4,$C$13:$V$13)</f>
        <v>3752693.0260093198</v>
      </c>
      <c r="G32" s="15">
        <f>SUMIF('Consumer Model'!$C$6:$V$6,5,$C$13:$V$13)</f>
        <v>8252607.0689954516</v>
      </c>
    </row>
    <row r="33" spans="2:7" x14ac:dyDescent="0.35">
      <c r="B33" s="9" t="s">
        <v>18</v>
      </c>
      <c r="C33" s="16">
        <f>SUMIF('Consumer Model'!$C$6:$V$6,1,$C$17:$V$17)</f>
        <v>38254.738925074656</v>
      </c>
      <c r="D33" s="16">
        <f>SUMIF('Consumer Model'!$C$6:$V$6,2,$C$17:$V$17)</f>
        <v>216358.98628166155</v>
      </c>
      <c r="E33" s="16">
        <f>SUMIF('Consumer Model'!$C$6:$V$6,3,$C$17:$V$17)</f>
        <v>746159.51977212005</v>
      </c>
      <c r="F33" s="16">
        <f>SUMIF('Consumer Model'!$C$6:$V$6,4,$C$17:$V$17)</f>
        <v>1970163.838654893</v>
      </c>
      <c r="G33" s="16">
        <f>SUMIF('Consumer Model'!$C$6:$V$6,5,$C$17:$V$17)</f>
        <v>4332618.7112226114</v>
      </c>
    </row>
    <row r="34" spans="2:7" x14ac:dyDescent="0.35">
      <c r="B34" s="7" t="s">
        <v>19</v>
      </c>
      <c r="C34" s="43">
        <f>SUMIF('Consumer Model'!$C$6:$V$6,1,$C$18:$V$18)</f>
        <v>0</v>
      </c>
      <c r="D34" s="43">
        <f>SUMIF('Consumer Model'!$C$6:$V$6,2,$C$18:$V$18)</f>
        <v>41461.027421392428</v>
      </c>
      <c r="E34" s="43">
        <f>SUMIF('Consumer Model'!$C$6:$V$6,3,$C$18:$V$18)</f>
        <v>198105.00619475186</v>
      </c>
      <c r="F34" s="43">
        <f>SUMIF('Consumer Model'!$C$6:$V$6,4,$C$18:$V$18)</f>
        <v>682297.65910631756</v>
      </c>
      <c r="G34" s="43">
        <f>SUMIF('Consumer Model'!$C$6:$V$6,5,$C$18:$V$18)</f>
        <v>1695038.8359259348</v>
      </c>
    </row>
    <row r="35" spans="2:7" x14ac:dyDescent="0.35">
      <c r="B35" s="7" t="s">
        <v>20</v>
      </c>
      <c r="C35" s="15">
        <f>SUMIF('Consumer Model'!$C$6:$V$6,1,$C$19:$V$19)</f>
        <v>111120.90830616922</v>
      </c>
      <c r="D35" s="15">
        <f>SUMIF('Consumer Model'!$C$6:$V$6,2,$C$19:$V$19)</f>
        <v>669932.3685252663</v>
      </c>
      <c r="E35" s="15">
        <f>SUMIF('Consumer Model'!$C$6:$V$6,3,$C$19:$V$19)</f>
        <v>2365520.7541042431</v>
      </c>
      <c r="F35" s="15">
        <f>SUMIF('Consumer Model'!$C$6:$V$6,4,$C$19:$V$19)</f>
        <v>6405154.5237705298</v>
      </c>
      <c r="G35" s="15">
        <f>SUMIF('Consumer Model'!$C$6:$V$6,5,$C$19:$V$19)</f>
        <v>14280264.616143998</v>
      </c>
    </row>
    <row r="36" spans="2:7" x14ac:dyDescent="0.35">
      <c r="B36" s="9" t="s">
        <v>21</v>
      </c>
      <c r="C36" s="17">
        <f>C34/C35</f>
        <v>0</v>
      </c>
      <c r="D36" s="17">
        <f>D34/D35</f>
        <v>6.1888377647226246E-2</v>
      </c>
      <c r="E36" s="17">
        <f>E34/E35</f>
        <v>8.3746889918862158E-2</v>
      </c>
      <c r="F36" s="17">
        <f>F34/F35</f>
        <v>0.10652321604017581</v>
      </c>
      <c r="G36" s="17">
        <f>G34/G35</f>
        <v>0.1186979990559611</v>
      </c>
    </row>
    <row r="37" spans="2:7" x14ac:dyDescent="0.35">
      <c r="B37" s="7" t="s">
        <v>22</v>
      </c>
      <c r="C37" s="8">
        <f>C34/C32</f>
        <v>0</v>
      </c>
      <c r="D37" s="8">
        <f>D34/D32</f>
        <v>0.10060612582041845</v>
      </c>
      <c r="E37" s="8">
        <f>E34/E32</f>
        <v>0.13938725633897736</v>
      </c>
      <c r="F37" s="8">
        <f>F34/F32</f>
        <v>0.18181547341533688</v>
      </c>
      <c r="G37" s="8">
        <f>G34/G32</f>
        <v>0.20539434650828026</v>
      </c>
    </row>
    <row r="38" spans="2:7" x14ac:dyDescent="0.35">
      <c r="B38" s="7" t="s">
        <v>237</v>
      </c>
      <c r="C38" s="7" t="str">
        <f>IF(C34&gt;C32,"YES","no")</f>
        <v>no</v>
      </c>
      <c r="D38" s="7" t="str">
        <f>IF(D34&gt;D32,"YES","no")</f>
        <v>no</v>
      </c>
      <c r="E38" s="7" t="str">
        <f>IF(E34&gt;E32,"YES","no")</f>
        <v>no</v>
      </c>
      <c r="F38" s="7" t="str">
        <f>IF(F34&gt;F32,"YES","no")</f>
        <v>no</v>
      </c>
      <c r="G38" s="7" t="str">
        <f>IF(G34&gt;G32,"YES","no")</f>
        <v>no</v>
      </c>
    </row>
    <row r="39" spans="2:7" x14ac:dyDescent="0.35">
      <c r="B39" s="9" t="s">
        <v>238</v>
      </c>
      <c r="C39" s="16">
        <f>INDEX('AUM Engine'!$C$68:$V$68,1,4)</f>
        <v>0</v>
      </c>
      <c r="D39" s="16">
        <f>INDEX('AUM Engine'!$C$68:$V$68,1,8)</f>
        <v>15438488.167429715</v>
      </c>
      <c r="E39" s="16">
        <f>INDEX('AUM Engine'!$C$68:$V$68,1,12)</f>
        <v>65492943.749821879</v>
      </c>
      <c r="F39" s="16">
        <f>INDEX('AUM Engine'!$C$68:$V$68,1,16)</f>
        <v>211911139.98029262</v>
      </c>
      <c r="G39" s="16">
        <f>INDEX('AUM Engine'!$C$68:$V$68,1,20)</f>
        <v>474827543.14254904</v>
      </c>
    </row>
    <row r="40" spans="2:7" x14ac:dyDescent="0.35">
      <c r="B40" s="9" t="s">
        <v>239</v>
      </c>
      <c r="C40" s="16">
        <f>INDEX('Consumer Model'!$C$20:$V$20,1,4)</f>
        <v>18900000</v>
      </c>
      <c r="D40" s="16">
        <f>INDEX('Consumer Model'!$C$20:$V$20,1,8)</f>
        <v>74681250</v>
      </c>
      <c r="E40" s="16">
        <f>INDEX('Consumer Model'!$C$20:$V$20,1,12)</f>
        <v>237750000</v>
      </c>
      <c r="F40" s="16">
        <f>INDEX('Consumer Model'!$C$20:$V$20,1,16)</f>
        <v>594375000</v>
      </c>
      <c r="G40" s="16">
        <f>INDEX('Consumer Model'!$C$20:$V$20,1,20)</f>
        <v>1188750000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showGridLines="0" workbookViewId="0"/>
  </sheetViews>
  <sheetFormatPr defaultRowHeight="14.5" x14ac:dyDescent="0.35"/>
  <cols>
    <col min="1" max="1" width="3" customWidth="1"/>
    <col min="2" max="2" width="50" customWidth="1"/>
    <col min="3" max="7" width="16" customWidth="1"/>
    <col min="8" max="8" width="30" customWidth="1"/>
  </cols>
  <sheetData>
    <row r="1" spans="1:8" ht="22" customHeight="1" x14ac:dyDescent="0.45">
      <c r="A1" s="1" t="s">
        <v>240</v>
      </c>
      <c r="B1" s="2"/>
      <c r="C1" s="2"/>
      <c r="D1" s="2"/>
      <c r="E1" s="2"/>
      <c r="F1" s="2"/>
      <c r="G1" s="2"/>
      <c r="H1" s="2"/>
    </row>
    <row r="2" spans="1:8" x14ac:dyDescent="0.35">
      <c r="A2" s="6" t="s">
        <v>241</v>
      </c>
    </row>
    <row r="4" spans="1:8" ht="16" customHeight="1" x14ac:dyDescent="0.35">
      <c r="A4" s="4" t="s">
        <v>242</v>
      </c>
      <c r="B4" s="5"/>
      <c r="C4" s="5"/>
      <c r="D4" s="5"/>
      <c r="E4" s="5"/>
      <c r="F4" s="5"/>
      <c r="G4" s="5"/>
      <c r="H4" s="5"/>
    </row>
    <row r="5" spans="1:8" x14ac:dyDescent="0.35">
      <c r="B5" s="9" t="s">
        <v>243</v>
      </c>
      <c r="C5" s="32">
        <f>Assumptions!$C$5*Assumptions!$C$6</f>
        <v>9.6000000000000009E-3</v>
      </c>
    </row>
    <row r="6" spans="1:8" x14ac:dyDescent="0.35">
      <c r="B6" s="9" t="s">
        <v>244</v>
      </c>
      <c r="C6" s="32">
        <f>Assumptions!$C$12</f>
        <v>5.0000000000000001E-3</v>
      </c>
    </row>
    <row r="7" spans="1:8" x14ac:dyDescent="0.35">
      <c r="B7" s="7" t="s">
        <v>245</v>
      </c>
      <c r="C7" s="8">
        <f>C5/C6</f>
        <v>1.9200000000000002</v>
      </c>
      <c r="H7" s="6" t="s">
        <v>246</v>
      </c>
    </row>
    <row r="9" spans="1:8" ht="16" customHeight="1" x14ac:dyDescent="0.35">
      <c r="A9" s="4" t="s">
        <v>247</v>
      </c>
      <c r="B9" s="5"/>
      <c r="C9" s="5"/>
      <c r="D9" s="5"/>
      <c r="E9" s="5"/>
      <c r="F9" s="5"/>
      <c r="G9" s="5"/>
      <c r="H9" s="5"/>
    </row>
    <row r="10" spans="1:8" x14ac:dyDescent="0.35">
      <c r="B10" s="13" t="s">
        <v>11</v>
      </c>
      <c r="C10" s="14" t="s">
        <v>12</v>
      </c>
      <c r="D10" s="14" t="s">
        <v>13</v>
      </c>
      <c r="E10" s="14" t="s">
        <v>14</v>
      </c>
      <c r="F10" s="14" t="s">
        <v>15</v>
      </c>
      <c r="G10" s="14" t="s">
        <v>16</v>
      </c>
    </row>
    <row r="11" spans="1:8" x14ac:dyDescent="0.35">
      <c r="B11" s="9" t="s">
        <v>248</v>
      </c>
      <c r="C11" s="16">
        <f>'Revenue Comparison'!C$39</f>
        <v>0</v>
      </c>
      <c r="D11" s="16">
        <f>'Revenue Comparison'!D$39</f>
        <v>15438488.167429715</v>
      </c>
      <c r="E11" s="16">
        <f>'Revenue Comparison'!E$39</f>
        <v>65492943.749821879</v>
      </c>
      <c r="F11" s="16">
        <f>'Revenue Comparison'!F$39</f>
        <v>211911139.98029262</v>
      </c>
      <c r="G11" s="16">
        <f>'Revenue Comparison'!G$39</f>
        <v>474827543.14254904</v>
      </c>
    </row>
    <row r="12" spans="1:8" x14ac:dyDescent="0.35">
      <c r="B12" s="9" t="s">
        <v>249</v>
      </c>
      <c r="C12" s="16">
        <f>'Revenue Comparison'!C$40</f>
        <v>18900000</v>
      </c>
      <c r="D12" s="16">
        <f>'Revenue Comparison'!D$40</f>
        <v>74681250</v>
      </c>
      <c r="E12" s="16">
        <f>'Revenue Comparison'!E$40</f>
        <v>237750000</v>
      </c>
      <c r="F12" s="16">
        <f>'Revenue Comparison'!F$40</f>
        <v>594375000</v>
      </c>
      <c r="G12" s="16">
        <f>'Revenue Comparison'!G$40</f>
        <v>1188750000</v>
      </c>
    </row>
    <row r="13" spans="1:8" x14ac:dyDescent="0.35">
      <c r="B13" s="7" t="s">
        <v>250</v>
      </c>
      <c r="C13" s="8">
        <f>C11/C12</f>
        <v>0</v>
      </c>
      <c r="D13" s="8">
        <f>D11/D12</f>
        <v>0.20672509053383165</v>
      </c>
      <c r="E13" s="8">
        <f>E11/E12</f>
        <v>0.27546979495193219</v>
      </c>
      <c r="F13" s="8">
        <f>F11/F12</f>
        <v>0.35652768030333143</v>
      </c>
      <c r="G13" s="8">
        <f>G11/G12</f>
        <v>0.39943431599793822</v>
      </c>
    </row>
    <row r="14" spans="1:8" x14ac:dyDescent="0.35">
      <c r="B14" s="9" t="s">
        <v>251</v>
      </c>
      <c r="C14" s="19">
        <f>$C$7</f>
        <v>1.9200000000000002</v>
      </c>
      <c r="D14" s="19">
        <f>$C$7</f>
        <v>1.9200000000000002</v>
      </c>
      <c r="E14" s="19">
        <f>$C$7</f>
        <v>1.9200000000000002</v>
      </c>
      <c r="F14" s="19">
        <f>$C$7</f>
        <v>1.9200000000000002</v>
      </c>
      <c r="G14" s="19">
        <f>$C$7</f>
        <v>1.9200000000000002</v>
      </c>
    </row>
    <row r="15" spans="1:8" x14ac:dyDescent="0.35">
      <c r="B15" s="7" t="s">
        <v>252</v>
      </c>
      <c r="C15" s="11" t="str">
        <f>IF(C13=0,"no AUM yet",C14/C13)</f>
        <v>no AUM yet</v>
      </c>
      <c r="D15" s="11">
        <f>IF(D13=0,"no AUM yet",D14/D13)</f>
        <v>9.2876969846375861</v>
      </c>
      <c r="E15" s="11">
        <f>IF(E13=0,"no AUM yet",E14/E13)</f>
        <v>6.9699111669757787</v>
      </c>
      <c r="F15" s="11">
        <f>IF(F13=0,"no AUM yet",F14/F13)</f>
        <v>5.3852761119879293</v>
      </c>
      <c r="G15" s="11">
        <f>IF(G13=0,"no AUM yet",G14/G13)</f>
        <v>4.8067978215720224</v>
      </c>
    </row>
    <row r="17" spans="1:8" ht="16" customHeight="1" x14ac:dyDescent="0.35">
      <c r="A17" s="4" t="s">
        <v>253</v>
      </c>
      <c r="B17" s="5"/>
      <c r="C17" s="5"/>
      <c r="D17" s="5"/>
      <c r="E17" s="5"/>
      <c r="F17" s="5"/>
      <c r="G17" s="5"/>
      <c r="H17" s="5"/>
    </row>
    <row r="18" spans="1:8" x14ac:dyDescent="0.35">
      <c r="B18" s="9" t="s">
        <v>254</v>
      </c>
      <c r="C18" s="40">
        <f>INDEX('AUM Engine'!$C$62:$V$62,1,20)</f>
        <v>117750</v>
      </c>
    </row>
    <row r="19" spans="1:8" x14ac:dyDescent="0.35">
      <c r="B19" s="9" t="s">
        <v>255</v>
      </c>
      <c r="C19" s="16">
        <f>INDEX('AUM Engine'!$C$70:$V$70,1,20)</f>
        <v>4032.5056742467009</v>
      </c>
    </row>
    <row r="20" spans="1:8" x14ac:dyDescent="0.35">
      <c r="B20" s="7" t="s">
        <v>256</v>
      </c>
      <c r="C20" s="43">
        <f>$C$7*G12/C18</f>
        <v>19383.43949044586</v>
      </c>
    </row>
    <row r="21" spans="1:8" x14ac:dyDescent="0.35">
      <c r="B21" s="9" t="s">
        <v>257</v>
      </c>
      <c r="C21" s="19">
        <f>C20/C19</f>
        <v>4.8067978215720224</v>
      </c>
    </row>
    <row r="22" spans="1:8" x14ac:dyDescent="0.35">
      <c r="B22" s="9" t="s">
        <v>258</v>
      </c>
      <c r="C22" s="34">
        <v>2142</v>
      </c>
      <c r="H22" s="6" t="s">
        <v>259</v>
      </c>
    </row>
    <row r="23" spans="1:8" x14ac:dyDescent="0.35">
      <c r="B23" s="9" t="s">
        <v>260</v>
      </c>
      <c r="C23" s="34">
        <v>66000</v>
      </c>
      <c r="H23" s="6" t="s">
        <v>261</v>
      </c>
    </row>
    <row r="25" spans="1:8" ht="16" customHeight="1" x14ac:dyDescent="0.35">
      <c r="A25" s="4" t="s">
        <v>262</v>
      </c>
      <c r="B25" s="5"/>
      <c r="C25" s="5"/>
      <c r="D25" s="5"/>
      <c r="E25" s="5"/>
      <c r="F25" s="5"/>
      <c r="G25" s="5"/>
      <c r="H25" s="5"/>
    </row>
    <row r="26" spans="1:8" x14ac:dyDescent="0.35">
      <c r="B26" s="13" t="s">
        <v>263</v>
      </c>
      <c r="C26" s="14" t="s">
        <v>264</v>
      </c>
      <c r="D26" s="14" t="s">
        <v>265</v>
      </c>
      <c r="E26" s="14" t="s">
        <v>266</v>
      </c>
      <c r="F26" s="14" t="s">
        <v>267</v>
      </c>
      <c r="G26" s="14" t="s">
        <v>268</v>
      </c>
    </row>
    <row r="27" spans="1:8" x14ac:dyDescent="0.35">
      <c r="B27" s="46" t="s">
        <v>269</v>
      </c>
      <c r="C27" s="19">
        <f>Assumptions!$C$5*0.1/0.0025</f>
        <v>1.9200000000000002</v>
      </c>
      <c r="D27" s="19">
        <f>Assumptions!$C$5*0.2/0.0025</f>
        <v>3.8400000000000003</v>
      </c>
      <c r="E27" s="19">
        <f>Assumptions!$C$5*0.35/0.0025</f>
        <v>6.72</v>
      </c>
      <c r="F27" s="19">
        <f>Assumptions!$C$5*0.5/0.0025</f>
        <v>9.6</v>
      </c>
      <c r="G27" s="19">
        <f>Assumptions!$C$5*0.58/0.0025</f>
        <v>11.135999999999999</v>
      </c>
    </row>
    <row r="28" spans="1:8" x14ac:dyDescent="0.35">
      <c r="B28" s="46" t="s">
        <v>270</v>
      </c>
      <c r="C28" s="19">
        <f>Assumptions!$C$5*0.1/0.005</f>
        <v>0.96000000000000008</v>
      </c>
      <c r="D28" s="8">
        <f>Assumptions!$C$5*0.2/0.005</f>
        <v>1.9200000000000002</v>
      </c>
      <c r="E28" s="19">
        <f>Assumptions!$C$5*0.35/0.005</f>
        <v>3.36</v>
      </c>
      <c r="F28" s="19">
        <f>Assumptions!$C$5*0.5/0.005</f>
        <v>4.8</v>
      </c>
      <c r="G28" s="19">
        <f>Assumptions!$C$5*0.58/0.005</f>
        <v>5.5679999999999996</v>
      </c>
    </row>
    <row r="29" spans="1:8" x14ac:dyDescent="0.35">
      <c r="B29" s="46" t="s">
        <v>271</v>
      </c>
      <c r="C29" s="19">
        <f>Assumptions!$C$5*0.1/0.0075</f>
        <v>0.64000000000000012</v>
      </c>
      <c r="D29" s="19">
        <f>Assumptions!$C$5*0.2/0.0075</f>
        <v>1.2800000000000002</v>
      </c>
      <c r="E29" s="19">
        <f>Assumptions!$C$5*0.35/0.0075</f>
        <v>2.2399999999999998</v>
      </c>
      <c r="F29" s="19">
        <f>Assumptions!$C$5*0.5/0.0075</f>
        <v>3.2</v>
      </c>
      <c r="G29" s="19">
        <f>Assumptions!$C$5*0.58/0.0075</f>
        <v>3.7120000000000002</v>
      </c>
    </row>
    <row r="30" spans="1:8" x14ac:dyDescent="0.35">
      <c r="B30" s="46" t="s">
        <v>272</v>
      </c>
      <c r="C30" s="19">
        <f>Assumptions!$C$5*0.1/0.01</f>
        <v>0.48000000000000004</v>
      </c>
      <c r="D30" s="19">
        <f>Assumptions!$C$5*0.2/0.01</f>
        <v>0.96000000000000008</v>
      </c>
      <c r="E30" s="19">
        <f>Assumptions!$C$5*0.35/0.01</f>
        <v>1.68</v>
      </c>
      <c r="F30" s="19">
        <f>Assumptions!$C$5*0.5/0.01</f>
        <v>2.4</v>
      </c>
      <c r="G30" s="19">
        <f>Assumptions!$C$5*0.58/0.01</f>
        <v>2.7839999999999998</v>
      </c>
    </row>
    <row r="31" spans="1:8" x14ac:dyDescent="0.35">
      <c r="A31" s="6" t="s">
        <v>273</v>
      </c>
    </row>
    <row r="32" spans="1:8" x14ac:dyDescent="0.35">
      <c r="A32" s="6" t="s">
        <v>274</v>
      </c>
    </row>
    <row r="34" spans="1:8" ht="16" customHeight="1" x14ac:dyDescent="0.35">
      <c r="A34" s="4" t="s">
        <v>275</v>
      </c>
      <c r="B34" s="5"/>
      <c r="C34" s="5"/>
      <c r="D34" s="5"/>
      <c r="E34" s="5"/>
      <c r="F34" s="5"/>
      <c r="G34" s="5"/>
      <c r="H34" s="5"/>
    </row>
    <row r="35" spans="1:8" ht="26" customHeight="1" x14ac:dyDescent="0.35">
      <c r="B35" s="21" t="s">
        <v>276</v>
      </c>
    </row>
    <row r="36" spans="1:8" ht="26" customHeight="1" x14ac:dyDescent="0.35">
      <c r="B36" s="21" t="s">
        <v>277</v>
      </c>
    </row>
    <row r="37" spans="1:8" ht="26" customHeight="1" x14ac:dyDescent="0.35">
      <c r="B37" s="21" t="s">
        <v>278</v>
      </c>
    </row>
    <row r="38" spans="1:8" ht="26" customHeight="1" x14ac:dyDescent="0.35">
      <c r="B38" s="21" t="s">
        <v>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showGridLines="0" workbookViewId="0"/>
  </sheetViews>
  <sheetFormatPr defaultRowHeight="14.5" x14ac:dyDescent="0.35"/>
  <cols>
    <col min="1" max="1" width="3" customWidth="1"/>
    <col min="2" max="2" width="40" customWidth="1"/>
    <col min="3" max="6" width="15" customWidth="1"/>
    <col min="7" max="7" width="4" customWidth="1"/>
    <col min="8" max="9" width="15" customWidth="1"/>
  </cols>
  <sheetData>
    <row r="1" spans="1:9" ht="22" customHeight="1" x14ac:dyDescent="0.45">
      <c r="A1" s="1" t="s">
        <v>280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6" t="s">
        <v>281</v>
      </c>
    </row>
    <row r="4" spans="1:9" ht="24" x14ac:dyDescent="0.35">
      <c r="B4" s="13" t="s">
        <v>11</v>
      </c>
      <c r="C4" s="14" t="s">
        <v>117</v>
      </c>
      <c r="D4" s="14" t="s">
        <v>118</v>
      </c>
      <c r="E4" s="14" t="s">
        <v>119</v>
      </c>
      <c r="F4" s="14" t="s">
        <v>120</v>
      </c>
      <c r="H4" s="14" t="s">
        <v>282</v>
      </c>
      <c r="I4" s="14" t="s">
        <v>283</v>
      </c>
    </row>
    <row r="5" spans="1:9" x14ac:dyDescent="0.35">
      <c r="B5" s="9" t="s">
        <v>111</v>
      </c>
      <c r="C5" s="18">
        <f>Assumptions!$C$21</f>
        <v>40</v>
      </c>
      <c r="D5" s="18">
        <f>Assumptions!$C$22</f>
        <v>57.5</v>
      </c>
      <c r="E5" s="18">
        <f>Assumptions!$C$23</f>
        <v>70</v>
      </c>
      <c r="F5" s="18">
        <f>Assumptions!$C$24</f>
        <v>47.5</v>
      </c>
      <c r="H5" s="18">
        <f>C5*Assumptions!$C$35 + D5*Assumptions!$C$36 + E5*Assumptions!$C$37 + F5*Assumptions!$C$38</f>
        <v>46</v>
      </c>
      <c r="I5" s="18">
        <f>C5*Assumptions!$E$35 + D5*Assumptions!$E$36 + E5*Assumptions!$E$37 + F5*Assumptions!$E$38</f>
        <v>52.75</v>
      </c>
    </row>
    <row r="6" spans="1:9" x14ac:dyDescent="0.35">
      <c r="B6" s="9" t="s">
        <v>112</v>
      </c>
      <c r="C6" s="16">
        <f>Assumptions!$D$21</f>
        <v>900</v>
      </c>
      <c r="D6" s="16">
        <f>Assumptions!$D$22</f>
        <v>2500</v>
      </c>
      <c r="E6" s="16">
        <f>Assumptions!$D$23</f>
        <v>4250</v>
      </c>
      <c r="F6" s="16">
        <f>Assumptions!$D$24</f>
        <v>6000</v>
      </c>
      <c r="H6" s="16">
        <f>C6*Assumptions!$C$35 + D6*Assumptions!$C$36 + E6*Assumptions!$C$37 + F6*Assumptions!$C$38</f>
        <v>1890</v>
      </c>
      <c r="I6" s="16">
        <f>C6*Assumptions!$E$35 + D6*Assumptions!$E$36 + E6*Assumptions!$E$37 + F6*Assumptions!$E$38</f>
        <v>2377.5</v>
      </c>
    </row>
    <row r="7" spans="1:9" x14ac:dyDescent="0.35">
      <c r="B7" s="9" t="s">
        <v>113</v>
      </c>
      <c r="C7" s="32">
        <f>Assumptions!$E$21</f>
        <v>3.2500000000000001E-2</v>
      </c>
      <c r="D7" s="32">
        <f>Assumptions!$E$22</f>
        <v>2.2499999999999999E-2</v>
      </c>
      <c r="E7" s="32">
        <f>Assumptions!$E$23</f>
        <v>1.2500000000000001E-2</v>
      </c>
      <c r="F7" s="32">
        <f>Assumptions!$E$24</f>
        <v>1.4999999999999999E-2</v>
      </c>
      <c r="H7" s="32">
        <f>C7*Assumptions!$C$35 + D7*Assumptions!$C$36 + E7*Assumptions!$C$37 + F7*Assumptions!$C$38</f>
        <v>2.775E-2</v>
      </c>
      <c r="I7" s="32">
        <f>C7*Assumptions!$E$35 + D7*Assumptions!$E$36 + E7*Assumptions!$E$37 + F7*Assumptions!$E$38</f>
        <v>2.4125000000000001E-2</v>
      </c>
    </row>
    <row r="8" spans="1:9" x14ac:dyDescent="0.35">
      <c r="B8" s="9" t="s">
        <v>114</v>
      </c>
      <c r="C8" s="17">
        <f>Assumptions!$F$21</f>
        <v>0.08</v>
      </c>
      <c r="D8" s="17">
        <f>Assumptions!$F$22</f>
        <v>0.25</v>
      </c>
      <c r="E8" s="17">
        <f>Assumptions!$F$23</f>
        <v>0.4</v>
      </c>
      <c r="F8" s="17">
        <f>Assumptions!$F$24</f>
        <v>0.7</v>
      </c>
      <c r="H8" s="17">
        <f>C8*Assumptions!$C$35 + D8*Assumptions!$C$36 + E8*Assumptions!$C$37 + F8*Assumptions!$C$38</f>
        <v>0.193</v>
      </c>
      <c r="I8" s="17">
        <f>C8*Assumptions!$E$35 + D8*Assumptions!$E$36 + E8*Assumptions!$E$37 + F8*Assumptions!$E$38</f>
        <v>0.23550000000000001</v>
      </c>
    </row>
    <row r="9" spans="1:9" x14ac:dyDescent="0.35">
      <c r="B9" s="9" t="s">
        <v>284</v>
      </c>
      <c r="C9" s="16">
        <f>INDEX('AUM Engine'!$C$20:$V$20,1,20)</f>
        <v>258.46112671789285</v>
      </c>
      <c r="D9" s="16">
        <f>INDEX('AUM Engine'!$C$33:$V$33,1,20)</f>
        <v>1759.2841374201744</v>
      </c>
      <c r="E9" s="16">
        <f>INDEX('AUM Engine'!$C$46:$V$46,1,20)</f>
        <v>5015.9153639826327</v>
      </c>
      <c r="F9" s="16">
        <f>INDEX('AUM Engine'!$C$59:$V$59,1,20)</f>
        <v>12672.679641093413</v>
      </c>
      <c r="H9" s="16">
        <f>C9*Assumptions!$C$35 + D9*Assumptions!$C$36 + E9*Assumptions!$C$37 + F9*Assumptions!$C$38</f>
        <v>1950.1298813661294</v>
      </c>
      <c r="I9" s="16">
        <f>C9*Assumptions!$E$35 + D9*Assumptions!$E$36 + E9*Assumptions!$E$37 + F9*Assumptions!$E$38</f>
        <v>2268.1605428424064</v>
      </c>
    </row>
    <row r="11" spans="1:9" ht="16" customHeight="1" x14ac:dyDescent="0.35">
      <c r="A11" s="4" t="s">
        <v>285</v>
      </c>
      <c r="B11" s="5"/>
      <c r="C11" s="5"/>
      <c r="D11" s="5"/>
      <c r="E11" s="5"/>
      <c r="F11" s="5"/>
      <c r="G11" s="5"/>
      <c r="H11" s="5"/>
      <c r="I11" s="5"/>
    </row>
    <row r="12" spans="1:9" x14ac:dyDescent="0.35">
      <c r="B12" s="9" t="s">
        <v>17</v>
      </c>
      <c r="C12" s="18">
        <f>C6*Assumptions!$C$5*Assumptions!$C$6/12</f>
        <v>0.72000000000000008</v>
      </c>
      <c r="D12" s="18">
        <f>D6*Assumptions!$C$5*Assumptions!$C$6/12</f>
        <v>2</v>
      </c>
      <c r="E12" s="18">
        <f>E6*Assumptions!$C$5*Assumptions!$C$6/12</f>
        <v>3.4000000000000004</v>
      </c>
      <c r="F12" s="18">
        <f>F6*Assumptions!$C$5*Assumptions!$C$6/12</f>
        <v>4.8</v>
      </c>
      <c r="H12" s="18">
        <f>C12*Assumptions!$C$35 + D12*Assumptions!$C$36 + E12*Assumptions!$C$37 + F12*Assumptions!$C$38</f>
        <v>1.512</v>
      </c>
      <c r="I12" s="18">
        <f>C12*Assumptions!$E$35 + D12*Assumptions!$E$36 + E12*Assumptions!$E$37 + F12*Assumptions!$E$38</f>
        <v>1.9020000000000001</v>
      </c>
    </row>
    <row r="13" spans="1:9" x14ac:dyDescent="0.35">
      <c r="B13" s="9" t="s">
        <v>286</v>
      </c>
      <c r="C13" s="18">
        <f>C6*Assumptions!$C$47</f>
        <v>180</v>
      </c>
      <c r="D13" s="18">
        <f>D6*Assumptions!$C$47</f>
        <v>500</v>
      </c>
      <c r="E13" s="18">
        <f>E6*Assumptions!$C$47</f>
        <v>850</v>
      </c>
      <c r="F13" s="18">
        <f>F6*Assumptions!$C$47</f>
        <v>1200</v>
      </c>
      <c r="H13" s="18">
        <f>C13*Assumptions!$C$35 + D13*Assumptions!$C$36 + E13*Assumptions!$C$37 + F13*Assumptions!$C$38</f>
        <v>378</v>
      </c>
      <c r="I13" s="18">
        <f>C13*Assumptions!$E$35 + D13*Assumptions!$E$36 + E13*Assumptions!$E$37 + F13*Assumptions!$E$38</f>
        <v>475.5</v>
      </c>
    </row>
    <row r="14" spans="1:9" x14ac:dyDescent="0.35">
      <c r="B14" s="9" t="s">
        <v>136</v>
      </c>
      <c r="C14" s="18">
        <f>C13*Assumptions!$C$48*Assumptions!$C$50</f>
        <v>0.36</v>
      </c>
      <c r="D14" s="18">
        <f>D13*Assumptions!$C$48*Assumptions!$C$50</f>
        <v>1</v>
      </c>
      <c r="E14" s="18">
        <f>E13*Assumptions!$C$48*Assumptions!$C$50</f>
        <v>1.7</v>
      </c>
      <c r="F14" s="18">
        <f>F13*Assumptions!$C$48*Assumptions!$C$50</f>
        <v>2.4</v>
      </c>
      <c r="H14" s="18">
        <f>C14*Assumptions!$C$35 + D14*Assumptions!$C$36 + E14*Assumptions!$C$37 + F14*Assumptions!$C$38</f>
        <v>0.75600000000000001</v>
      </c>
      <c r="I14" s="18">
        <f>C14*Assumptions!$E$35 + D14*Assumptions!$E$36 + E14*Assumptions!$E$37 + F14*Assumptions!$E$38</f>
        <v>0.95100000000000007</v>
      </c>
    </row>
    <row r="15" spans="1:9" x14ac:dyDescent="0.35">
      <c r="B15" s="9" t="s">
        <v>287</v>
      </c>
      <c r="C15" s="18">
        <f>C13*Assumptions!$C$49*Assumptions!$C$51-C13*Assumptions!$C$49/Assumptions!$C$53*Assumptions!$C$52</f>
        <v>1.8000000000000016E-2</v>
      </c>
      <c r="D15" s="18">
        <f>D13*Assumptions!$C$49*Assumptions!$C$51-D13*Assumptions!$C$49/Assumptions!$C$53*Assumptions!$C$52</f>
        <v>5.0000000000000044E-2</v>
      </c>
      <c r="E15" s="18">
        <f>E13*Assumptions!$C$49*Assumptions!$C$51-E13*Assumptions!$C$49/Assumptions!$C$53*Assumptions!$C$52</f>
        <v>8.5000000000000187E-2</v>
      </c>
      <c r="F15" s="18">
        <f>F13*Assumptions!$C$49*Assumptions!$C$51-F13*Assumptions!$C$49/Assumptions!$C$53*Assumptions!$C$52</f>
        <v>0.12000000000000011</v>
      </c>
      <c r="H15" s="18">
        <f>C15*Assumptions!$C$35 + D15*Assumptions!$C$36 + E15*Assumptions!$C$37 + F15*Assumptions!$C$38</f>
        <v>3.7800000000000035E-2</v>
      </c>
      <c r="I15" s="18">
        <f>C15*Assumptions!$E$35 + D15*Assumptions!$E$36 + E15*Assumptions!$E$37 + F15*Assumptions!$E$38</f>
        <v>4.7550000000000057E-2</v>
      </c>
    </row>
    <row r="16" spans="1:9" x14ac:dyDescent="0.35">
      <c r="B16" s="9" t="s">
        <v>19</v>
      </c>
      <c r="C16" s="18">
        <f>C9*C8*Assumptions!$C$12/12</f>
        <v>8.6153708905964289E-3</v>
      </c>
      <c r="D16" s="18">
        <f>D9*D8*Assumptions!$C$12/12</f>
        <v>0.1832587643146015</v>
      </c>
      <c r="E16" s="18">
        <f>E9*E8*Assumptions!$C$12/12</f>
        <v>0.83598589399710554</v>
      </c>
      <c r="F16" s="18">
        <f>F9*F8*Assumptions!$C$12/12</f>
        <v>3.6961982286522459</v>
      </c>
      <c r="H16" s="18">
        <f>C16*Assumptions!$C$35 + D16*Assumptions!$C$36 + E16*Assumptions!$C$37 + F16*Assumptions!$C$38</f>
        <v>0.4297666746939629</v>
      </c>
      <c r="I16" s="18">
        <f>C16*Assumptions!$E$35 + D16*Assumptions!$E$36 + E16*Assumptions!$E$37 + F16*Assumptions!$E$38</f>
        <v>0.39568961928545754</v>
      </c>
    </row>
    <row r="17" spans="1:9" x14ac:dyDescent="0.35">
      <c r="B17" s="9" t="s">
        <v>288</v>
      </c>
      <c r="C17" s="18">
        <f>-Assumptions!$C$54</f>
        <v>-0.5</v>
      </c>
      <c r="D17" s="18">
        <f>-Assumptions!$C$54</f>
        <v>-0.5</v>
      </c>
      <c r="E17" s="18">
        <f>-Assumptions!$C$54</f>
        <v>-0.5</v>
      </c>
      <c r="F17" s="18">
        <f>-Assumptions!$C$54</f>
        <v>-0.5</v>
      </c>
      <c r="H17" s="18">
        <f>C17*Assumptions!$C$35 + D17*Assumptions!$C$36 + E17*Assumptions!$C$37 + F17*Assumptions!$C$38</f>
        <v>-0.49999999999999994</v>
      </c>
      <c r="I17" s="18">
        <f>C17*Assumptions!$E$35 + D17*Assumptions!$E$36 + E17*Assumptions!$E$37 + F17*Assumptions!$E$38</f>
        <v>-0.5</v>
      </c>
    </row>
    <row r="18" spans="1:9" x14ac:dyDescent="0.35">
      <c r="B18" s="7" t="s">
        <v>289</v>
      </c>
      <c r="C18" s="47">
        <f>C12+C14+C15+C16+C17</f>
        <v>0.60661537089059658</v>
      </c>
      <c r="D18" s="47">
        <f>D12+D14+D15+D16+D17</f>
        <v>2.7332587643146011</v>
      </c>
      <c r="E18" s="47">
        <f>E12+E14+E15+E16+E17</f>
        <v>5.5209858939971062</v>
      </c>
      <c r="F18" s="47">
        <f>F12+F14+F15+F16+F17</f>
        <v>10.516198228652245</v>
      </c>
      <c r="H18" s="48">
        <f>C18*Assumptions!$C$35 + D18*Assumptions!$C$36 + E18*Assumptions!$C$37 + F18*Assumptions!$C$38</f>
        <v>2.2355666746939629</v>
      </c>
      <c r="I18" s="48">
        <f>C18*Assumptions!$E$35 + D18*Assumptions!$E$36 + E18*Assumptions!$E$37 + F18*Assumptions!$E$38</f>
        <v>2.7962396192854575</v>
      </c>
    </row>
    <row r="20" spans="1:9" ht="16" customHeight="1" x14ac:dyDescent="0.35">
      <c r="A20" s="4" t="s">
        <v>290</v>
      </c>
      <c r="B20" s="5"/>
      <c r="C20" s="5"/>
      <c r="D20" s="5"/>
      <c r="E20" s="5"/>
      <c r="F20" s="5"/>
      <c r="G20" s="5"/>
      <c r="H20" s="5"/>
      <c r="I20" s="5"/>
    </row>
    <row r="21" spans="1:9" x14ac:dyDescent="0.35">
      <c r="B21" s="9" t="s">
        <v>291</v>
      </c>
      <c r="C21" s="49">
        <f>(1-C7)/(1+Assumptions!$C$58)</f>
        <v>0.95629705939844711</v>
      </c>
      <c r="D21" s="49">
        <f>(1-D7)/(1+Assumptions!$C$58)</f>
        <v>0.96618126673073079</v>
      </c>
      <c r="E21" s="49">
        <f>(1-E7)/(1+Assumptions!$C$58)</f>
        <v>0.97606547406301447</v>
      </c>
      <c r="F21" s="49">
        <f>(1-F7)/(1+Assumptions!$C$58)</f>
        <v>0.97359442222994352</v>
      </c>
    </row>
    <row r="22" spans="1:9" x14ac:dyDescent="0.35">
      <c r="B22" s="7" t="s">
        <v>292</v>
      </c>
      <c r="C22" s="43">
        <f>C18/(1+Assumptions!$C$58)*(1-C21^Assumptions!$C$59)/(1-C21)</f>
        <v>12.780162592806061</v>
      </c>
      <c r="D22" s="43">
        <f>D18/(1+Assumptions!$C$58)*(1-D21^Assumptions!$C$59)/(1-D21)</f>
        <v>69.746309541792357</v>
      </c>
      <c r="E22" s="43">
        <f>E18/(1+Assumptions!$C$58)*(1-E21^Assumptions!$C$59)/(1-E21)</f>
        <v>174.70630729484975</v>
      </c>
      <c r="F22" s="43">
        <f>F18/(1+Assumptions!$C$58)*(1-F21^Assumptions!$C$59)/(1-F21)</f>
        <v>314.61561808046207</v>
      </c>
      <c r="H22" s="50">
        <f>C22*Assumptions!$C$35 + D22*Assumptions!$C$36 + E22*Assumptions!$C$37 + F22*Assumptions!$C$38</f>
        <v>60.053552226267556</v>
      </c>
      <c r="I22" s="50">
        <f>C22*Assumptions!$E$35 + D22*Assumptions!$E$36 + E22*Assumptions!$E$37 + F22*Assumptions!$E$38</f>
        <v>77.79562319953925</v>
      </c>
    </row>
    <row r="23" spans="1:9" x14ac:dyDescent="0.35">
      <c r="B23" s="7" t="s">
        <v>293</v>
      </c>
      <c r="C23" s="8">
        <f>C22/C5</f>
        <v>0.31950406482015153</v>
      </c>
      <c r="D23" s="8">
        <f>D22/D5</f>
        <v>1.2129792963789976</v>
      </c>
      <c r="E23" s="8">
        <f>E22/E5</f>
        <v>2.4958043899264251</v>
      </c>
      <c r="F23" s="8">
        <f>F22/F5</f>
        <v>6.6234866964307804</v>
      </c>
      <c r="H23" s="8">
        <f>H22/H5</f>
        <v>1.30551200491886</v>
      </c>
      <c r="I23" s="8">
        <f>I22/I5</f>
        <v>1.4747985440670948</v>
      </c>
    </row>
    <row r="24" spans="1:9" x14ac:dyDescent="0.35">
      <c r="B24" s="9" t="s">
        <v>294</v>
      </c>
      <c r="C24" s="51">
        <f>IF(C18&lt;=0,"n/a",C5/C18)</f>
        <v>65.939641360017603</v>
      </c>
      <c r="D24" s="51">
        <f>IF(D18&lt;=0,"n/a",D5/D18)</f>
        <v>21.037159287923785</v>
      </c>
      <c r="E24" s="51">
        <f>IF(E18&lt;=0,"n/a",E5/E18)</f>
        <v>12.678894919132118</v>
      </c>
      <c r="F24" s="51">
        <f>IF(F18&lt;=0,"n/a",F5/F18)</f>
        <v>4.5168414447135801</v>
      </c>
      <c r="H24" s="51">
        <f>H5/H18</f>
        <v>20.576438413001998</v>
      </c>
      <c r="I24" s="51">
        <f>I5/I18</f>
        <v>18.864620770046731</v>
      </c>
    </row>
    <row r="25" spans="1:9" x14ac:dyDescent="0.35">
      <c r="B25" s="9" t="s">
        <v>32</v>
      </c>
      <c r="C25" s="17">
        <f>C16/C18</f>
        <v>1.4202361667736599E-2</v>
      </c>
      <c r="D25" s="17">
        <f>D16/D18</f>
        <v>6.7047718535553996E-2</v>
      </c>
      <c r="E25" s="17">
        <f>E16/E18</f>
        <v>0.15141967576951459</v>
      </c>
      <c r="F25" s="17">
        <f>F16/F18</f>
        <v>0.35147665993796606</v>
      </c>
      <c r="H25" s="17">
        <f>H16/H18</f>
        <v>0.19224059812610853</v>
      </c>
      <c r="I25" s="17">
        <f>I16/I18</f>
        <v>0.14150776512728577</v>
      </c>
    </row>
    <row r="28" spans="1:9" ht="16" customHeight="1" x14ac:dyDescent="0.35">
      <c r="A28" s="4" t="s">
        <v>295</v>
      </c>
      <c r="B28" s="5"/>
      <c r="C28" s="5"/>
      <c r="D28" s="5"/>
      <c r="E28" s="5"/>
      <c r="F28" s="5"/>
      <c r="G28" s="5"/>
      <c r="H28" s="5"/>
      <c r="I28" s="5"/>
    </row>
    <row r="29" spans="1:9" x14ac:dyDescent="0.35">
      <c r="B29" s="13" t="s">
        <v>296</v>
      </c>
      <c r="C29" s="14" t="s">
        <v>264</v>
      </c>
      <c r="D29" s="14" t="s">
        <v>265</v>
      </c>
      <c r="E29" s="14" t="s">
        <v>266</v>
      </c>
      <c r="F29" s="14" t="s">
        <v>267</v>
      </c>
      <c r="G29" s="14" t="s">
        <v>268</v>
      </c>
    </row>
    <row r="30" spans="1:9" x14ac:dyDescent="0.35">
      <c r="B30" s="9" t="s">
        <v>297</v>
      </c>
      <c r="C30" s="18">
        <f>(C6*Assumptions!$C$5*0.1/12 + C14 + C15 + C16 + C17)*Assumptions!$E$35 + (D6*Assumptions!$C$5*0.1/12 + D14 + D15 + D16 + D17)*Assumptions!$E$36 + (E6*Assumptions!$C$5*0.1/12 + E14 + E15 + E16 + E17)*Assumptions!$E$37 + (F6*Assumptions!$C$5*0.1/12 + F14 + F15 + F16 + F17)*Assumptions!$E$38</f>
        <v>1.8452396192854574</v>
      </c>
      <c r="D30" s="48">
        <f>(C6*Assumptions!$C$5*0.2/12 + C14 + C15 + C16 + C17)*Assumptions!$E$35 + (D6*Assumptions!$C$5*0.2/12 + D14 + D15 + D16 + D17)*Assumptions!$E$36 + (E6*Assumptions!$C$5*0.2/12 + E14 + E15 + E16 + E17)*Assumptions!$E$37 + (F6*Assumptions!$C$5*0.2/12 + F14 + F15 + F16 + F17)*Assumptions!$E$38</f>
        <v>2.7962396192854575</v>
      </c>
      <c r="E30" s="18">
        <f>(C6*Assumptions!$C$5*0.35/12 + C14 + C15 + C16 + C17)*Assumptions!$E$35 + (D6*Assumptions!$C$5*0.35/12 + D14 + D15 + D16 + D17)*Assumptions!$E$36 + (E6*Assumptions!$C$5*0.35/12 + E14 + E15 + E16 + E17)*Assumptions!$E$37 + (F6*Assumptions!$C$5*0.35/12 + F14 + F15 + F16 + F17)*Assumptions!$E$38</f>
        <v>4.2227396192854574</v>
      </c>
      <c r="F30" s="18">
        <f>(C6*Assumptions!$C$5*0.5/12 + C14 + C15 + C16 + C17)*Assumptions!$E$35 + (D6*Assumptions!$C$5*0.5/12 + D14 + D15 + D16 + D17)*Assumptions!$E$36 + (E6*Assumptions!$C$5*0.5/12 + E14 + E15 + E16 + E17)*Assumptions!$E$37 + (F6*Assumptions!$C$5*0.5/12 + F14 + F15 + F16 + F17)*Assumptions!$E$38</f>
        <v>5.6492396192854573</v>
      </c>
      <c r="G30" s="18">
        <f>(C6*Assumptions!$C$5*0.58/12 + C14 + C15 + C16 + C17)*Assumptions!$E$35 + (D6*Assumptions!$C$5*0.58/12 + D14 + D15 + D16 + D17)*Assumptions!$E$36 + (E6*Assumptions!$C$5*0.58/12 + E14 + E15 + E16 + E17)*Assumptions!$E$37 + (F6*Assumptions!$C$5*0.58/12 + F14 + F15 + F16 + F17)*Assumptions!$E$38</f>
        <v>6.410039619285457</v>
      </c>
    </row>
    <row r="31" spans="1:9" x14ac:dyDescent="0.35">
      <c r="A31" s="6" t="s">
        <v>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showGridLines="0" workbookViewId="0"/>
  </sheetViews>
  <sheetFormatPr defaultRowHeight="14.5" x14ac:dyDescent="0.35"/>
  <cols>
    <col min="1" max="1" width="3" customWidth="1"/>
    <col min="2" max="2" width="40" customWidth="1"/>
    <col min="3" max="8" width="15" customWidth="1"/>
  </cols>
  <sheetData>
    <row r="1" spans="1:8" ht="22" customHeight="1" x14ac:dyDescent="0.45">
      <c r="A1" s="1" t="s">
        <v>299</v>
      </c>
      <c r="B1" s="2"/>
      <c r="C1" s="2"/>
      <c r="D1" s="2"/>
      <c r="E1" s="2"/>
      <c r="F1" s="2"/>
      <c r="G1" s="2"/>
      <c r="H1" s="2"/>
    </row>
    <row r="2" spans="1:8" x14ac:dyDescent="0.35">
      <c r="A2" s="6" t="s">
        <v>300</v>
      </c>
    </row>
    <row r="4" spans="1:8" ht="16" customHeight="1" x14ac:dyDescent="0.35">
      <c r="A4" s="4" t="s">
        <v>301</v>
      </c>
      <c r="B4" s="5"/>
      <c r="C4" s="5"/>
      <c r="D4" s="5"/>
      <c r="E4" s="5"/>
      <c r="F4" s="5"/>
      <c r="G4" s="5"/>
      <c r="H4" s="5"/>
    </row>
    <row r="5" spans="1:8" x14ac:dyDescent="0.35">
      <c r="A5" s="6" t="s">
        <v>302</v>
      </c>
    </row>
    <row r="6" spans="1:8" x14ac:dyDescent="0.35">
      <c r="B6" s="13" t="s">
        <v>303</v>
      </c>
      <c r="C6" s="14" t="s">
        <v>304</v>
      </c>
      <c r="D6" s="14" t="s">
        <v>305</v>
      </c>
      <c r="E6" s="14" t="s">
        <v>306</v>
      </c>
      <c r="F6" s="14" t="s">
        <v>307</v>
      </c>
      <c r="G6" s="14" t="s">
        <v>308</v>
      </c>
      <c r="H6" s="14" t="s">
        <v>309</v>
      </c>
    </row>
    <row r="7" spans="1:8" x14ac:dyDescent="0.35">
      <c r="B7" s="46" t="s">
        <v>310</v>
      </c>
      <c r="C7" s="19">
        <f>INDEX('AUM Engine'!$C$71:$V$71,1,20)*(0+0.01*36)</f>
        <v>8.4779999999999994E-2</v>
      </c>
      <c r="D7" s="19">
        <f>INDEX('AUM Engine'!$C$71:$V$71,1,20)*(0.5+0.01*36)</f>
        <v>0.20252999999999999</v>
      </c>
      <c r="E7" s="19">
        <f>INDEX('AUM Engine'!$C$71:$V$71,1,20)*(1+0.01*36)</f>
        <v>0.32027999999999995</v>
      </c>
      <c r="F7" s="19">
        <f>INDEX('AUM Engine'!$C$71:$V$71,1,20)*(2+0.01*36)</f>
        <v>0.55577999999999994</v>
      </c>
      <c r="G7" s="19">
        <f>INDEX('AUM Engine'!$C$71:$V$71,1,20)*(4+0.01*36)</f>
        <v>1.02678</v>
      </c>
      <c r="H7" s="19">
        <f>INDEX('AUM Engine'!$C$71:$V$71,1,20)*(8+0.01*36)</f>
        <v>1.9687799999999998</v>
      </c>
    </row>
    <row r="8" spans="1:8" x14ac:dyDescent="0.35">
      <c r="B8" s="46" t="s">
        <v>311</v>
      </c>
      <c r="C8" s="19">
        <f>INDEX('AUM Engine'!$C$71:$V$71,1,20)*(0+0.02*36)</f>
        <v>0.16955999999999999</v>
      </c>
      <c r="D8" s="19">
        <f>INDEX('AUM Engine'!$C$71:$V$71,1,20)*(0.5+0.02*36)</f>
        <v>0.28730999999999995</v>
      </c>
      <c r="E8" s="8">
        <f>INDEX('AUM Engine'!$C$71:$V$71,1,20)*(1+0.02*36)</f>
        <v>0.40505999999999998</v>
      </c>
      <c r="F8" s="19">
        <f>INDEX('AUM Engine'!$C$71:$V$71,1,20)*(2+0.02*36)</f>
        <v>0.64055999999999991</v>
      </c>
      <c r="G8" s="19">
        <f>INDEX('AUM Engine'!$C$71:$V$71,1,20)*(4+0.02*36)</f>
        <v>1.1115599999999999</v>
      </c>
      <c r="H8" s="19">
        <f>INDEX('AUM Engine'!$C$71:$V$71,1,20)*(8+0.02*36)</f>
        <v>2.0535600000000001</v>
      </c>
    </row>
    <row r="9" spans="1:8" x14ac:dyDescent="0.35">
      <c r="B9" s="46" t="s">
        <v>312</v>
      </c>
      <c r="C9" s="19">
        <f>INDEX('AUM Engine'!$C$71:$V$71,1,20)*(0+0.03*36)</f>
        <v>0.25434000000000001</v>
      </c>
      <c r="D9" s="19">
        <f>INDEX('AUM Engine'!$C$71:$V$71,1,20)*(0.5+0.03*36)</f>
        <v>0.37208999999999998</v>
      </c>
      <c r="E9" s="19">
        <f>INDEX('AUM Engine'!$C$71:$V$71,1,20)*(1+0.03*36)</f>
        <v>0.48984</v>
      </c>
      <c r="F9" s="19">
        <f>INDEX('AUM Engine'!$C$71:$V$71,1,20)*(2+0.03*36)</f>
        <v>0.72533999999999998</v>
      </c>
      <c r="G9" s="19">
        <f>INDEX('AUM Engine'!$C$71:$V$71,1,20)*(4+0.03*36)</f>
        <v>1.19634</v>
      </c>
      <c r="H9" s="19">
        <f>INDEX('AUM Engine'!$C$71:$V$71,1,20)*(8+0.03*36)</f>
        <v>2.1383399999999999</v>
      </c>
    </row>
    <row r="10" spans="1:8" x14ac:dyDescent="0.35">
      <c r="B10" s="46" t="s">
        <v>313</v>
      </c>
      <c r="C10" s="19">
        <f>INDEX('AUM Engine'!$C$71:$V$71,1,20)*(0+0.05*36)</f>
        <v>0.4239</v>
      </c>
      <c r="D10" s="19">
        <f>INDEX('AUM Engine'!$C$71:$V$71,1,20)*(0.5+0.05*36)</f>
        <v>0.54164999999999996</v>
      </c>
      <c r="E10" s="19">
        <f>INDEX('AUM Engine'!$C$71:$V$71,1,20)*(1+0.05*36)</f>
        <v>0.65939999999999988</v>
      </c>
      <c r="F10" s="19">
        <f>INDEX('AUM Engine'!$C$71:$V$71,1,20)*(2+0.05*36)</f>
        <v>0.89489999999999992</v>
      </c>
      <c r="G10" s="19">
        <f>INDEX('AUM Engine'!$C$71:$V$71,1,20)*(4+0.05*36)</f>
        <v>1.3658999999999999</v>
      </c>
      <c r="H10" s="19">
        <f>INDEX('AUM Engine'!$C$71:$V$71,1,20)*(8+0.05*36)</f>
        <v>2.3079000000000001</v>
      </c>
    </row>
    <row r="11" spans="1:8" x14ac:dyDescent="0.35">
      <c r="B11" s="46" t="s">
        <v>314</v>
      </c>
      <c r="C11" s="19">
        <f>INDEX('AUM Engine'!$C$71:$V$71,1,20)*(0+0.08*36)</f>
        <v>0.67823999999999995</v>
      </c>
      <c r="D11" s="19">
        <f>INDEX('AUM Engine'!$C$71:$V$71,1,20)*(0.5+0.08*36)</f>
        <v>0.79598999999999998</v>
      </c>
      <c r="E11" s="19">
        <f>INDEX('AUM Engine'!$C$71:$V$71,1,20)*(1+0.08*36)</f>
        <v>0.91373999999999989</v>
      </c>
      <c r="F11" s="19">
        <f>INDEX('AUM Engine'!$C$71:$V$71,1,20)*(2+0.08*36)</f>
        <v>1.1492399999999998</v>
      </c>
      <c r="G11" s="19">
        <f>INDEX('AUM Engine'!$C$71:$V$71,1,20)*(4+0.08*36)</f>
        <v>1.6202399999999999</v>
      </c>
      <c r="H11" s="19">
        <f>INDEX('AUM Engine'!$C$71:$V$71,1,20)*(8+0.08*36)</f>
        <v>2.5622399999999996</v>
      </c>
    </row>
    <row r="12" spans="1:8" x14ac:dyDescent="0.35">
      <c r="B12" s="7" t="s">
        <v>315</v>
      </c>
      <c r="C12" s="11">
        <f>'Crossover Analysis'!$C$7</f>
        <v>1.9200000000000002</v>
      </c>
    </row>
    <row r="14" spans="1:8" x14ac:dyDescent="0.35">
      <c r="A14" s="6" t="s">
        <v>316</v>
      </c>
    </row>
    <row r="16" spans="1:8" ht="16" customHeight="1" x14ac:dyDescent="0.35">
      <c r="A16" s="4" t="s">
        <v>317</v>
      </c>
      <c r="B16" s="5"/>
      <c r="C16" s="5"/>
      <c r="D16" s="5"/>
      <c r="E16" s="5"/>
      <c r="F16" s="5"/>
      <c r="G16" s="5"/>
      <c r="H16" s="5"/>
    </row>
    <row r="17" spans="1:7" x14ac:dyDescent="0.35">
      <c r="B17" s="13" t="s">
        <v>19</v>
      </c>
      <c r="C17" s="14" t="s">
        <v>269</v>
      </c>
      <c r="D17" s="14" t="s">
        <v>270</v>
      </c>
      <c r="E17" s="14" t="s">
        <v>271</v>
      </c>
      <c r="F17" s="14" t="s">
        <v>272</v>
      </c>
      <c r="G17" s="14" t="s">
        <v>318</v>
      </c>
    </row>
    <row r="18" spans="1:7" x14ac:dyDescent="0.35">
      <c r="B18" s="9" t="s">
        <v>319</v>
      </c>
      <c r="C18" s="16">
        <f>'Revenue Comparison'!$G$39*0.0025</f>
        <v>1187068.8578563726</v>
      </c>
      <c r="D18" s="50">
        <f>'Revenue Comparison'!$G$39*0.005</f>
        <v>2374137.7157127452</v>
      </c>
      <c r="E18" s="16">
        <f>'Revenue Comparison'!$G$39*0.0075</f>
        <v>3561206.5735691176</v>
      </c>
      <c r="F18" s="16">
        <f>'Revenue Comparison'!$G$39*0.01</f>
        <v>4748275.4314254904</v>
      </c>
      <c r="G18" s="16">
        <f>'Revenue Comparison'!$G$39*0.015</f>
        <v>7122413.1471382352</v>
      </c>
    </row>
    <row r="19" spans="1:7" x14ac:dyDescent="0.35">
      <c r="B19" s="9" t="s">
        <v>320</v>
      </c>
      <c r="C19" s="16">
        <f>'Revenue Comparison'!$G$32</f>
        <v>8252607.0689954516</v>
      </c>
      <c r="D19" s="16">
        <f>'Revenue Comparison'!$G$32</f>
        <v>8252607.0689954516</v>
      </c>
      <c r="E19" s="16">
        <f>'Revenue Comparison'!$G$32</f>
        <v>8252607.0689954516</v>
      </c>
      <c r="F19" s="16">
        <f>'Revenue Comparison'!$G$32</f>
        <v>8252607.0689954516</v>
      </c>
      <c r="G19" s="16">
        <f>'Revenue Comparison'!$G$32</f>
        <v>8252607.0689954516</v>
      </c>
    </row>
    <row r="20" spans="1:7" x14ac:dyDescent="0.35">
      <c r="B20" s="7" t="s">
        <v>321</v>
      </c>
      <c r="C20" s="10">
        <f>C18/C19</f>
        <v>0.1438416791120613</v>
      </c>
      <c r="D20" s="10">
        <f>D18/D19</f>
        <v>0.28768335822412261</v>
      </c>
      <c r="E20" s="10">
        <f>E18/E19</f>
        <v>0.43152503733618391</v>
      </c>
      <c r="F20" s="10">
        <f>F18/F19</f>
        <v>0.57536671644824522</v>
      </c>
      <c r="G20" s="10">
        <f>G18/G19</f>
        <v>0.86305007467236783</v>
      </c>
    </row>
    <row r="22" spans="1:7" x14ac:dyDescent="0.35">
      <c r="A22" s="6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Research &amp; Sources</vt:lpstr>
      <vt:lpstr>Assumptions</vt:lpstr>
      <vt:lpstr>Consumer Model</vt:lpstr>
      <vt:lpstr>AUM Engine</vt:lpstr>
      <vt:lpstr>Revenue Comparison</vt:lpstr>
      <vt:lpstr>Crossover Analysis</vt:lpstr>
      <vt:lpstr>Segment Unit Economics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Moazzam Khoja</cp:lastModifiedBy>
  <dcterms:created xsi:type="dcterms:W3CDTF">2026-09-12T20:56:38Z</dcterms:created>
  <dcterms:modified xsi:type="dcterms:W3CDTF">2026-09-12T20:56:39Z</dcterms:modified>
</cp:coreProperties>
</file>